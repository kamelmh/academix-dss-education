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erp_dss_system\"/>
    </mc:Choice>
  </mc:AlternateContent>
  <xr:revisionPtr revIDLastSave="0" documentId="13_ncr:1_{A4A64418-C5D7-4149-91C4-099831364BA2}" xr6:coauthVersionLast="36" xr6:coauthVersionMax="36" xr10:uidLastSave="{00000000-0000-0000-0000-000000000000}"/>
  <bookViews>
    <workbookView xWindow="0" yWindow="0" windowWidth="20490" windowHeight="10035" firstSheet="6" activeTab="7" xr2:uid="{9C2A0C34-F12D-41C7-A0EC-A842D3CBAF11}"/>
  </bookViews>
  <sheets>
    <sheet name="DASHBOARD" sheetId="7" r:id="rId1"/>
    <sheet name="ACCUEIL" sheetId="6" r:id="rId2"/>
    <sheet name="MOUVEMENTS" sheetId="5" r:id="rId3"/>
    <sheet name="CONVENTIONS" sheetId="4" r:id="rId4"/>
    <sheet name="FOURNISSEURS" sheetId="3" r:id="rId5"/>
    <sheet name="ARTICLES" sheetId="2" r:id="rId6"/>
    <sheet name="CONFIG" sheetId="8" r:id="rId7"/>
    <sheet name="TABLEAU DE BORD" sheetId="9" r:id="rId8"/>
    <sheet name="ALERTE_DASHBOARD" sheetId="10" r:id="rId9"/>
    <sheet name="INVENTAIRE" sheetId="11" r:id="rId10"/>
    <sheet name="RAPPORTS" sheetId="12" r:id="rId11"/>
    <sheet name="CALCULS_EOQ" sheetId="13" r:id="rId12"/>
    <sheet name="HISTORIQUE" sheetId="14" r:id="rId13"/>
    <sheet name="BON_RECEPTION" sheetId="15" r:id="rId14"/>
    <sheet name="BON_SORTIE" sheetId="16" r:id="rId15"/>
    <sheet name="BON_COMMANDE" sheetId="17" r:id="rId16"/>
    <sheet name="DA_DEMANDE_ACHAT" sheetId="18" r:id="rId17"/>
    <sheet name="GUIDE" sheetId="19" r:id="rId18"/>
    <sheet name="VBA_MODULES" sheetId="20" r:id="rId19"/>
    <sheet name="AUDIT_LOG" sheetId="21" r:id="rId20"/>
    <sheet name="FORM_INPUT" sheetId="22" r:id="rId21"/>
    <sheet name="BORDEREAU_COMMANDE" sheetId="23" r:id="rId22"/>
    <sheet name="STAGING_BUFFER" sheetId="24" r:id="rId23"/>
    <sheet name="SYS_STRINGS" sheetId="25" r:id="rId24"/>
    <sheet name="RECEIPT_TAG" sheetId="26" r:id="rId25"/>
    <sheet name="TEMPLATE_BON" sheetId="27" r:id="rId26"/>
    <sheet name="Sheet1" sheetId="1" r:id="rId27"/>
  </sheets>
  <functionGroups builtInGroupCount="19"/>
  <externalReferences>
    <externalReference r:id="rId28"/>
    <externalReference r:id="rId29"/>
  </externalReferences>
  <definedNames>
    <definedName name="_xlnm.Print_Area" localSheetId="15">BON_COMMANDE!$A$1:$A$34</definedName>
    <definedName name="_xlnm.Print_Area" localSheetId="13">BON_RECEPTION!$A$1:$A$32</definedName>
    <definedName name="_xlnm.Print_Area" localSheetId="14">BON_SORTIE!$A$1:$A$31</definedName>
    <definedName name="_xlnm.Print_Area" localSheetId="16">DA_DEMANDE_ACHAT!$A$1:$A$33</definedName>
    <definedName name="_xlnm.Print_Area" localSheetId="9">INVENTAIRE!$A$1:$A$19</definedName>
    <definedName name="_xlnm.Print_Area" localSheetId="10">RAPPORTS!$A$1:$A$88</definedName>
    <definedName name="_xlnm.Print_Area" localSheetId="7">'TABLEAU DE BORD'!$A$1:$Z$21</definedName>
    <definedName name="_xlnm.Print_Titles" localSheetId="9">INVENTAIRE!$1:$2</definedName>
    <definedName name="_xlnm.Print_Titles" localSheetId="10">RAPPORTS!$1:$5</definedName>
    <definedName name="_xlnm.Print_Titles" localSheetId="7">'TABLEAU DE BORD'!$1:$1</definedName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23" l="1"/>
  <c r="H24" i="18"/>
  <c r="D24" i="18"/>
  <c r="C24" i="18"/>
  <c r="H23" i="18"/>
  <c r="D23" i="18"/>
  <c r="C23" i="18"/>
  <c r="H22" i="18"/>
  <c r="D22" i="18"/>
  <c r="C22" i="18"/>
  <c r="H21" i="18"/>
  <c r="D21" i="18"/>
  <c r="C21" i="18"/>
  <c r="H20" i="18"/>
  <c r="D20" i="18"/>
  <c r="C20" i="18"/>
  <c r="H19" i="18"/>
  <c r="D19" i="18"/>
  <c r="C19" i="18"/>
  <c r="H18" i="18"/>
  <c r="D18" i="18"/>
  <c r="C18" i="18"/>
  <c r="H17" i="18"/>
  <c r="D17" i="18"/>
  <c r="C17" i="18"/>
  <c r="D8" i="18"/>
  <c r="G24" i="17"/>
  <c r="H24" i="17" s="1"/>
  <c r="D24" i="17"/>
  <c r="C24" i="17"/>
  <c r="H23" i="17"/>
  <c r="G23" i="17"/>
  <c r="D23" i="17"/>
  <c r="C23" i="17"/>
  <c r="G22" i="17"/>
  <c r="H22" i="17" s="1"/>
  <c r="D22" i="17"/>
  <c r="C22" i="17"/>
  <c r="H21" i="17"/>
  <c r="G21" i="17"/>
  <c r="D21" i="17"/>
  <c r="C21" i="17"/>
  <c r="G20" i="17"/>
  <c r="H20" i="17" s="1"/>
  <c r="D20" i="17"/>
  <c r="C20" i="17"/>
  <c r="H19" i="17"/>
  <c r="G19" i="17"/>
  <c r="D19" i="17"/>
  <c r="C19" i="17"/>
  <c r="G18" i="17"/>
  <c r="H18" i="17" s="1"/>
  <c r="D18" i="17"/>
  <c r="C18" i="17"/>
  <c r="H17" i="17"/>
  <c r="G17" i="17"/>
  <c r="D17" i="17"/>
  <c r="C17" i="17"/>
  <c r="D8" i="17"/>
  <c r="H20" i="16"/>
  <c r="G20" i="16"/>
  <c r="D20" i="16"/>
  <c r="C20" i="16"/>
  <c r="G19" i="16"/>
  <c r="H19" i="16" s="1"/>
  <c r="D19" i="16"/>
  <c r="C19" i="16"/>
  <c r="H18" i="16"/>
  <c r="G18" i="16"/>
  <c r="D18" i="16"/>
  <c r="C18" i="16"/>
  <c r="G17" i="16"/>
  <c r="H17" i="16" s="1"/>
  <c r="D17" i="16"/>
  <c r="C17" i="16"/>
  <c r="H16" i="16"/>
  <c r="G16" i="16"/>
  <c r="D16" i="16"/>
  <c r="C16" i="16"/>
  <c r="G15" i="16"/>
  <c r="H15" i="16" s="1"/>
  <c r="D15" i="16"/>
  <c r="C15" i="16"/>
  <c r="D8" i="16"/>
  <c r="H21" i="15"/>
  <c r="G21" i="15"/>
  <c r="D21" i="15"/>
  <c r="C21" i="15"/>
  <c r="G20" i="15"/>
  <c r="H20" i="15" s="1"/>
  <c r="D20" i="15"/>
  <c r="C20" i="15"/>
  <c r="H19" i="15"/>
  <c r="G19" i="15"/>
  <c r="D19" i="15"/>
  <c r="C19" i="15"/>
  <c r="G18" i="15"/>
  <c r="H18" i="15" s="1"/>
  <c r="D18" i="15"/>
  <c r="C18" i="15"/>
  <c r="H17" i="15"/>
  <c r="G17" i="15"/>
  <c r="D17" i="15"/>
  <c r="C17" i="15"/>
  <c r="G16" i="15"/>
  <c r="H16" i="15" s="1"/>
  <c r="D16" i="15"/>
  <c r="C16" i="15"/>
  <c r="H15" i="15"/>
  <c r="G15" i="15"/>
  <c r="D15" i="15"/>
  <c r="C15" i="15"/>
  <c r="G14" i="15"/>
  <c r="H14" i="15" s="1"/>
  <c r="D14" i="15"/>
  <c r="C14" i="15"/>
  <c r="D8" i="15"/>
  <c r="E84" i="12"/>
  <c r="D84" i="12"/>
  <c r="F84" i="12" s="1"/>
  <c r="G84" i="12" s="1"/>
  <c r="E83" i="12"/>
  <c r="D83" i="12"/>
  <c r="F83" i="12" s="1"/>
  <c r="G83" i="12" s="1"/>
  <c r="E82" i="12"/>
  <c r="D82" i="12"/>
  <c r="F82" i="12" s="1"/>
  <c r="G82" i="12" s="1"/>
  <c r="E81" i="12"/>
  <c r="D81" i="12"/>
  <c r="F81" i="12" s="1"/>
  <c r="G81" i="12" s="1"/>
  <c r="E80" i="12"/>
  <c r="D80" i="12"/>
  <c r="F80" i="12" s="1"/>
  <c r="G80" i="12" s="1"/>
  <c r="E79" i="12"/>
  <c r="D79" i="12"/>
  <c r="F79" i="12" s="1"/>
  <c r="G79" i="12" s="1"/>
  <c r="E78" i="12"/>
  <c r="D78" i="12"/>
  <c r="F78" i="12" s="1"/>
  <c r="G78" i="12" s="1"/>
  <c r="E77" i="12"/>
  <c r="D77" i="12"/>
  <c r="F77" i="12" s="1"/>
  <c r="G77" i="12" s="1"/>
  <c r="E76" i="12"/>
  <c r="D76" i="12"/>
  <c r="F76" i="12" s="1"/>
  <c r="G76" i="12" s="1"/>
  <c r="E75" i="12"/>
  <c r="D75" i="12"/>
  <c r="F75" i="12" s="1"/>
  <c r="G75" i="12" s="1"/>
  <c r="E74" i="12"/>
  <c r="D74" i="12"/>
  <c r="F74" i="12" s="1"/>
  <c r="G74" i="12" s="1"/>
  <c r="E73" i="12"/>
  <c r="D73" i="12"/>
  <c r="F73" i="12" s="1"/>
  <c r="G73" i="12" s="1"/>
  <c r="E72" i="12"/>
  <c r="D72" i="12"/>
  <c r="F72" i="12" s="1"/>
  <c r="G72" i="12" s="1"/>
  <c r="E71" i="12"/>
  <c r="D71" i="12"/>
  <c r="F71" i="12" s="1"/>
  <c r="G71" i="12" s="1"/>
  <c r="E70" i="12"/>
  <c r="E85" i="12" s="1"/>
  <c r="D70" i="12"/>
  <c r="D85" i="12" s="1"/>
  <c r="E63" i="12"/>
  <c r="D63" i="12"/>
  <c r="F63" i="12" s="1"/>
  <c r="G63" i="12" s="1"/>
  <c r="E62" i="12"/>
  <c r="D62" i="12"/>
  <c r="F62" i="12" s="1"/>
  <c r="G62" i="12" s="1"/>
  <c r="E61" i="12"/>
  <c r="D61" i="12"/>
  <c r="F61" i="12" s="1"/>
  <c r="G61" i="12" s="1"/>
  <c r="E60" i="12"/>
  <c r="D60" i="12"/>
  <c r="F60" i="12" s="1"/>
  <c r="G60" i="12" s="1"/>
  <c r="E59" i="12"/>
  <c r="D59" i="12"/>
  <c r="F59" i="12" s="1"/>
  <c r="G59" i="12" s="1"/>
  <c r="E58" i="12"/>
  <c r="D58" i="12"/>
  <c r="F58" i="12" s="1"/>
  <c r="G58" i="12" s="1"/>
  <c r="E57" i="12"/>
  <c r="D57" i="12"/>
  <c r="F57" i="12" s="1"/>
  <c r="G57" i="12" s="1"/>
  <c r="E56" i="12"/>
  <c r="D56" i="12"/>
  <c r="F56" i="12" s="1"/>
  <c r="G56" i="12" s="1"/>
  <c r="E55" i="12"/>
  <c r="D55" i="12"/>
  <c r="F55" i="12" s="1"/>
  <c r="G55" i="12" s="1"/>
  <c r="E54" i="12"/>
  <c r="D54" i="12"/>
  <c r="F54" i="12" s="1"/>
  <c r="G54" i="12" s="1"/>
  <c r="E53" i="12"/>
  <c r="D53" i="12"/>
  <c r="F53" i="12" s="1"/>
  <c r="G53" i="12" s="1"/>
  <c r="E52" i="12"/>
  <c r="D52" i="12"/>
  <c r="F52" i="12" s="1"/>
  <c r="G52" i="12" s="1"/>
  <c r="E51" i="12"/>
  <c r="D51" i="12"/>
  <c r="F51" i="12" s="1"/>
  <c r="G51" i="12" s="1"/>
  <c r="E50" i="12"/>
  <c r="D50" i="12"/>
  <c r="F50" i="12" s="1"/>
  <c r="G50" i="12" s="1"/>
  <c r="E49" i="12"/>
  <c r="E64" i="12" s="1"/>
  <c r="D49" i="12"/>
  <c r="D64" i="12" s="1"/>
  <c r="E42" i="12"/>
  <c r="D42" i="12"/>
  <c r="F42" i="12" s="1"/>
  <c r="G42" i="12" s="1"/>
  <c r="E41" i="12"/>
  <c r="D41" i="12"/>
  <c r="F41" i="12" s="1"/>
  <c r="G41" i="12" s="1"/>
  <c r="E40" i="12"/>
  <c r="D40" i="12"/>
  <c r="F40" i="12" s="1"/>
  <c r="G40" i="12" s="1"/>
  <c r="E39" i="12"/>
  <c r="D39" i="12"/>
  <c r="F39" i="12" s="1"/>
  <c r="G39" i="12" s="1"/>
  <c r="E38" i="12"/>
  <c r="D38" i="12"/>
  <c r="F38" i="12" s="1"/>
  <c r="G38" i="12" s="1"/>
  <c r="E37" i="12"/>
  <c r="D37" i="12"/>
  <c r="F37" i="12" s="1"/>
  <c r="G37" i="12" s="1"/>
  <c r="E36" i="12"/>
  <c r="D36" i="12"/>
  <c r="F36" i="12" s="1"/>
  <c r="G36" i="12" s="1"/>
  <c r="E35" i="12"/>
  <c r="D35" i="12"/>
  <c r="F35" i="12" s="1"/>
  <c r="G35" i="12" s="1"/>
  <c r="E34" i="12"/>
  <c r="D34" i="12"/>
  <c r="F34" i="12" s="1"/>
  <c r="G34" i="12" s="1"/>
  <c r="E33" i="12"/>
  <c r="D33" i="12"/>
  <c r="F33" i="12" s="1"/>
  <c r="G33" i="12" s="1"/>
  <c r="E32" i="12"/>
  <c r="D32" i="12"/>
  <c r="F32" i="12" s="1"/>
  <c r="G32" i="12" s="1"/>
  <c r="E31" i="12"/>
  <c r="D31" i="12"/>
  <c r="F31" i="12" s="1"/>
  <c r="G31" i="12" s="1"/>
  <c r="E30" i="12"/>
  <c r="D30" i="12"/>
  <c r="F30" i="12" s="1"/>
  <c r="G30" i="12" s="1"/>
  <c r="E29" i="12"/>
  <c r="D29" i="12"/>
  <c r="F29" i="12" s="1"/>
  <c r="G29" i="12" s="1"/>
  <c r="E28" i="12"/>
  <c r="E43" i="12" s="1"/>
  <c r="D28" i="12"/>
  <c r="D43" i="12" s="1"/>
  <c r="E21" i="12"/>
  <c r="D21" i="12"/>
  <c r="F21" i="12" s="1"/>
  <c r="G21" i="12" s="1"/>
  <c r="E20" i="12"/>
  <c r="D20" i="12"/>
  <c r="F20" i="12" s="1"/>
  <c r="G20" i="12" s="1"/>
  <c r="E19" i="12"/>
  <c r="D19" i="12"/>
  <c r="F19" i="12" s="1"/>
  <c r="G19" i="12" s="1"/>
  <c r="E18" i="12"/>
  <c r="D18" i="12"/>
  <c r="F18" i="12" s="1"/>
  <c r="G18" i="12" s="1"/>
  <c r="E17" i="12"/>
  <c r="D17" i="12"/>
  <c r="F17" i="12" s="1"/>
  <c r="G17" i="12" s="1"/>
  <c r="E16" i="12"/>
  <c r="D16" i="12"/>
  <c r="F16" i="12" s="1"/>
  <c r="G16" i="12" s="1"/>
  <c r="E15" i="12"/>
  <c r="D15" i="12"/>
  <c r="F15" i="12" s="1"/>
  <c r="G15" i="12" s="1"/>
  <c r="E14" i="12"/>
  <c r="D14" i="12"/>
  <c r="F14" i="12" s="1"/>
  <c r="G14" i="12" s="1"/>
  <c r="E13" i="12"/>
  <c r="D13" i="12"/>
  <c r="F13" i="12" s="1"/>
  <c r="G13" i="12" s="1"/>
  <c r="E12" i="12"/>
  <c r="D12" i="12"/>
  <c r="F12" i="12" s="1"/>
  <c r="G12" i="12" s="1"/>
  <c r="E11" i="12"/>
  <c r="D11" i="12"/>
  <c r="F11" i="12" s="1"/>
  <c r="G11" i="12" s="1"/>
  <c r="E10" i="12"/>
  <c r="D10" i="12"/>
  <c r="F10" i="12" s="1"/>
  <c r="G10" i="12" s="1"/>
  <c r="E9" i="12"/>
  <c r="D9" i="12"/>
  <c r="F9" i="12" s="1"/>
  <c r="G9" i="12" s="1"/>
  <c r="E8" i="12"/>
  <c r="D8" i="12"/>
  <c r="F8" i="12" s="1"/>
  <c r="G8" i="12" s="1"/>
  <c r="E7" i="12"/>
  <c r="E22" i="12" s="1"/>
  <c r="D7" i="12"/>
  <c r="D22" i="12" s="1"/>
  <c r="C17" i="11"/>
  <c r="B17" i="11"/>
  <c r="C16" i="11"/>
  <c r="B16" i="11"/>
  <c r="C15" i="11"/>
  <c r="B15" i="11"/>
  <c r="C14" i="11"/>
  <c r="B14" i="11"/>
  <c r="G13" i="11"/>
  <c r="C13" i="11"/>
  <c r="E13" i="11" s="1"/>
  <c r="F13" i="11" s="1"/>
  <c r="B13" i="11"/>
  <c r="G12" i="11"/>
  <c r="E12" i="11"/>
  <c r="F12" i="11" s="1"/>
  <c r="C12" i="11"/>
  <c r="B12" i="11"/>
  <c r="G11" i="11"/>
  <c r="C11" i="11"/>
  <c r="E11" i="11" s="1"/>
  <c r="F11" i="11" s="1"/>
  <c r="B11" i="11"/>
  <c r="G10" i="11"/>
  <c r="C10" i="11"/>
  <c r="E10" i="11" s="1"/>
  <c r="F10" i="11" s="1"/>
  <c r="B10" i="11"/>
  <c r="G9" i="11"/>
  <c r="C9" i="11"/>
  <c r="E9" i="11" s="1"/>
  <c r="F9" i="11" s="1"/>
  <c r="B9" i="11"/>
  <c r="G8" i="11"/>
  <c r="E8" i="11"/>
  <c r="F8" i="11" s="1"/>
  <c r="C8" i="11"/>
  <c r="B8" i="11"/>
  <c r="G7" i="11"/>
  <c r="F7" i="11"/>
  <c r="E7" i="11"/>
  <c r="C7" i="11"/>
  <c r="B7" i="11"/>
  <c r="G6" i="11"/>
  <c r="C6" i="11"/>
  <c r="E6" i="11" s="1"/>
  <c r="F6" i="11" s="1"/>
  <c r="B6" i="11"/>
  <c r="G5" i="11"/>
  <c r="C5" i="11"/>
  <c r="E5" i="11" s="1"/>
  <c r="F5" i="11" s="1"/>
  <c r="B5" i="11"/>
  <c r="G4" i="11"/>
  <c r="E4" i="11"/>
  <c r="F4" i="11" s="1"/>
  <c r="C4" i="11"/>
  <c r="B4" i="11"/>
  <c r="G3" i="11"/>
  <c r="C3" i="11"/>
  <c r="E3" i="11" s="1"/>
  <c r="F3" i="11" s="1"/>
  <c r="B3" i="11"/>
  <c r="I26" i="10"/>
  <c r="H26" i="10"/>
  <c r="G26" i="10"/>
  <c r="F26" i="10"/>
  <c r="E26" i="10"/>
  <c r="D26" i="10"/>
  <c r="C26" i="10"/>
  <c r="B26" i="10"/>
  <c r="A26" i="10"/>
  <c r="I25" i="10"/>
  <c r="H25" i="10"/>
  <c r="G25" i="10"/>
  <c r="F25" i="10"/>
  <c r="E25" i="10"/>
  <c r="D25" i="10"/>
  <c r="C25" i="10"/>
  <c r="B25" i="10"/>
  <c r="A25" i="10"/>
  <c r="I24" i="10"/>
  <c r="H24" i="10"/>
  <c r="G24" i="10"/>
  <c r="F24" i="10"/>
  <c r="E24" i="10"/>
  <c r="D24" i="10"/>
  <c r="C24" i="10"/>
  <c r="B24" i="10"/>
  <c r="A24" i="10"/>
  <c r="K23" i="10"/>
  <c r="J23" i="10"/>
  <c r="I23" i="10"/>
  <c r="H23" i="10"/>
  <c r="G23" i="10"/>
  <c r="F23" i="10"/>
  <c r="E23" i="10"/>
  <c r="D23" i="10"/>
  <c r="C23" i="10"/>
  <c r="B23" i="10"/>
  <c r="A23" i="10"/>
  <c r="K22" i="10"/>
  <c r="J22" i="10"/>
  <c r="I22" i="10"/>
  <c r="H22" i="10"/>
  <c r="G22" i="10"/>
  <c r="F22" i="10"/>
  <c r="E22" i="10"/>
  <c r="D22" i="10"/>
  <c r="C22" i="10"/>
  <c r="B22" i="10"/>
  <c r="A22" i="10"/>
  <c r="K21" i="10"/>
  <c r="J21" i="10"/>
  <c r="I21" i="10"/>
  <c r="H21" i="10"/>
  <c r="G21" i="10"/>
  <c r="F21" i="10"/>
  <c r="E21" i="10"/>
  <c r="D21" i="10"/>
  <c r="C21" i="10"/>
  <c r="B21" i="10"/>
  <c r="A21" i="10"/>
  <c r="K20" i="10"/>
  <c r="J20" i="10"/>
  <c r="I20" i="10"/>
  <c r="H20" i="10"/>
  <c r="G20" i="10"/>
  <c r="F20" i="10"/>
  <c r="E20" i="10"/>
  <c r="D20" i="10"/>
  <c r="C20" i="10"/>
  <c r="B20" i="10"/>
  <c r="A20" i="10"/>
  <c r="K19" i="10"/>
  <c r="J19" i="10"/>
  <c r="I19" i="10"/>
  <c r="H19" i="10"/>
  <c r="G19" i="10"/>
  <c r="F19" i="10"/>
  <c r="E19" i="10"/>
  <c r="D19" i="10"/>
  <c r="C19" i="10"/>
  <c r="B19" i="10"/>
  <c r="A19" i="10"/>
  <c r="K18" i="10"/>
  <c r="J18" i="10"/>
  <c r="I18" i="10"/>
  <c r="H18" i="10"/>
  <c r="G18" i="10"/>
  <c r="F18" i="10"/>
  <c r="E18" i="10"/>
  <c r="D18" i="10"/>
  <c r="C18" i="10"/>
  <c r="B18" i="10"/>
  <c r="A18" i="10"/>
  <c r="K17" i="10"/>
  <c r="J17" i="10"/>
  <c r="I17" i="10"/>
  <c r="H17" i="10"/>
  <c r="G17" i="10"/>
  <c r="F17" i="10"/>
  <c r="E17" i="10"/>
  <c r="D17" i="10"/>
  <c r="C17" i="10"/>
  <c r="B17" i="10"/>
  <c r="A17" i="10"/>
  <c r="K16" i="10"/>
  <c r="J16" i="10"/>
  <c r="I16" i="10"/>
  <c r="H16" i="10"/>
  <c r="G16" i="10"/>
  <c r="F16" i="10"/>
  <c r="E16" i="10"/>
  <c r="D16" i="10"/>
  <c r="C16" i="10"/>
  <c r="B16" i="10"/>
  <c r="A16" i="10"/>
  <c r="K15" i="10"/>
  <c r="J15" i="10"/>
  <c r="I15" i="10"/>
  <c r="H15" i="10"/>
  <c r="G15" i="10"/>
  <c r="F15" i="10"/>
  <c r="E15" i="10"/>
  <c r="D15" i="10"/>
  <c r="C15" i="10"/>
  <c r="B15" i="10"/>
  <c r="A15" i="10"/>
  <c r="K14" i="10"/>
  <c r="J14" i="10"/>
  <c r="I14" i="10"/>
  <c r="H14" i="10"/>
  <c r="G14" i="10"/>
  <c r="F14" i="10"/>
  <c r="E14" i="10"/>
  <c r="D14" i="10"/>
  <c r="C14" i="10"/>
  <c r="B14" i="10"/>
  <c r="A14" i="10"/>
  <c r="K13" i="10"/>
  <c r="J13" i="10"/>
  <c r="I13" i="10"/>
  <c r="H13" i="10"/>
  <c r="G13" i="10"/>
  <c r="F13" i="10"/>
  <c r="E13" i="10"/>
  <c r="D13" i="10"/>
  <c r="C13" i="10"/>
  <c r="B13" i="10"/>
  <c r="A13" i="10"/>
  <c r="K12" i="10"/>
  <c r="J12" i="10"/>
  <c r="I12" i="10"/>
  <c r="H12" i="10"/>
  <c r="G12" i="10"/>
  <c r="F12" i="10"/>
  <c r="E12" i="10"/>
  <c r="D12" i="10"/>
  <c r="C12" i="10"/>
  <c r="B12" i="10"/>
  <c r="A12" i="10"/>
  <c r="J8" i="10"/>
  <c r="G8" i="10"/>
  <c r="J7" i="10"/>
  <c r="G7" i="10"/>
  <c r="D7" i="10"/>
  <c r="A7" i="10"/>
  <c r="J18" i="9"/>
  <c r="H18" i="9"/>
  <c r="G18" i="9"/>
  <c r="F18" i="9"/>
  <c r="I18" i="9" s="1"/>
  <c r="E18" i="9"/>
  <c r="D18" i="9"/>
  <c r="C18" i="9"/>
  <c r="B18" i="9"/>
  <c r="J17" i="9"/>
  <c r="H17" i="9"/>
  <c r="G17" i="9"/>
  <c r="E17" i="9"/>
  <c r="D17" i="9"/>
  <c r="F17" i="9" s="1"/>
  <c r="C17" i="9"/>
  <c r="B17" i="9"/>
  <c r="J16" i="9"/>
  <c r="H16" i="9"/>
  <c r="G16" i="9"/>
  <c r="F16" i="9"/>
  <c r="K16" i="9" s="1"/>
  <c r="E16" i="9"/>
  <c r="D16" i="9"/>
  <c r="C16" i="9"/>
  <c r="B16" i="9"/>
  <c r="J15" i="9"/>
  <c r="H15" i="9"/>
  <c r="G15" i="9"/>
  <c r="E15" i="9"/>
  <c r="D15" i="9"/>
  <c r="F15" i="9" s="1"/>
  <c r="C15" i="9"/>
  <c r="B15" i="9"/>
  <c r="J14" i="9"/>
  <c r="H14" i="9"/>
  <c r="G14" i="9"/>
  <c r="F14" i="9"/>
  <c r="I14" i="9" s="1"/>
  <c r="E14" i="9"/>
  <c r="D14" i="9"/>
  <c r="C14" i="9"/>
  <c r="B14" i="9"/>
  <c r="J13" i="9"/>
  <c r="H13" i="9"/>
  <c r="G13" i="9"/>
  <c r="E13" i="9"/>
  <c r="D13" i="9"/>
  <c r="F13" i="9" s="1"/>
  <c r="C13" i="9"/>
  <c r="B13" i="9"/>
  <c r="J12" i="9"/>
  <c r="H12" i="9"/>
  <c r="G12" i="9"/>
  <c r="F12" i="9"/>
  <c r="K12" i="9" s="1"/>
  <c r="E12" i="9"/>
  <c r="D12" i="9"/>
  <c r="C12" i="9"/>
  <c r="B12" i="9"/>
  <c r="J11" i="9"/>
  <c r="H11" i="9"/>
  <c r="G11" i="9"/>
  <c r="E11" i="9"/>
  <c r="D11" i="9"/>
  <c r="F11" i="9" s="1"/>
  <c r="C11" i="9"/>
  <c r="B11" i="9"/>
  <c r="J10" i="9"/>
  <c r="H10" i="9"/>
  <c r="G10" i="9"/>
  <c r="F10" i="9"/>
  <c r="I10" i="9" s="1"/>
  <c r="E10" i="9"/>
  <c r="D10" i="9"/>
  <c r="C10" i="9"/>
  <c r="B10" i="9"/>
  <c r="J9" i="9"/>
  <c r="H9" i="9"/>
  <c r="G9" i="9"/>
  <c r="E9" i="9"/>
  <c r="D9" i="9"/>
  <c r="F9" i="9" s="1"/>
  <c r="C9" i="9"/>
  <c r="B9" i="9"/>
  <c r="J8" i="9"/>
  <c r="H8" i="9"/>
  <c r="G8" i="9"/>
  <c r="F8" i="9"/>
  <c r="K8" i="9" s="1"/>
  <c r="E8" i="9"/>
  <c r="D8" i="9"/>
  <c r="C8" i="9"/>
  <c r="B8" i="9"/>
  <c r="J7" i="9"/>
  <c r="H7" i="9"/>
  <c r="G7" i="9"/>
  <c r="E7" i="9"/>
  <c r="D7" i="9"/>
  <c r="F7" i="9" s="1"/>
  <c r="C7" i="9"/>
  <c r="B7" i="9"/>
  <c r="J6" i="9"/>
  <c r="H6" i="9"/>
  <c r="G6" i="9"/>
  <c r="F6" i="9"/>
  <c r="I6" i="9" s="1"/>
  <c r="E6" i="9"/>
  <c r="D6" i="9"/>
  <c r="C6" i="9"/>
  <c r="B6" i="9"/>
  <c r="N5" i="9"/>
  <c r="J5" i="9"/>
  <c r="H5" i="9"/>
  <c r="G5" i="9"/>
  <c r="E5" i="9"/>
  <c r="F5" i="9" s="1"/>
  <c r="D5" i="9"/>
  <c r="C5" i="9"/>
  <c r="B5" i="9"/>
  <c r="H4" i="9"/>
  <c r="G4" i="9"/>
  <c r="J4" i="9" s="1"/>
  <c r="E4" i="9"/>
  <c r="D4" i="9"/>
  <c r="F4" i="9" s="1"/>
  <c r="C4" i="9"/>
  <c r="B4" i="9"/>
  <c r="K11" i="9" l="1"/>
  <c r="I11" i="9"/>
  <c r="H22" i="15"/>
  <c r="K13" i="9"/>
  <c r="I13" i="9"/>
  <c r="K9" i="9"/>
  <c r="I9" i="9"/>
  <c r="K7" i="9"/>
  <c r="I7" i="9"/>
  <c r="K17" i="9"/>
  <c r="I17" i="9"/>
  <c r="K5" i="9"/>
  <c r="I5" i="9"/>
  <c r="K4" i="9"/>
  <c r="I4" i="9"/>
  <c r="F19" i="9"/>
  <c r="H25" i="17"/>
  <c r="H21" i="16"/>
  <c r="K15" i="9"/>
  <c r="I15" i="9"/>
  <c r="K6" i="9"/>
  <c r="K10" i="9"/>
  <c r="K14" i="9"/>
  <c r="K18" i="9"/>
  <c r="F7" i="12"/>
  <c r="F28" i="12"/>
  <c r="F49" i="12"/>
  <c r="F70" i="12"/>
  <c r="I8" i="9"/>
  <c r="I12" i="9"/>
  <c r="I16" i="9"/>
  <c r="B15" i="6"/>
  <c r="B14" i="6"/>
  <c r="B13" i="6"/>
  <c r="B12" i="6"/>
  <c r="I19" i="9" l="1"/>
  <c r="F64" i="12"/>
  <c r="G49" i="12"/>
  <c r="G64" i="12" s="1"/>
  <c r="F85" i="12"/>
  <c r="G70" i="12"/>
  <c r="G85" i="12" s="1"/>
  <c r="F43" i="12"/>
  <c r="G28" i="12"/>
  <c r="G43" i="12" s="1"/>
  <c r="F22" i="12"/>
  <c r="G7" i="12"/>
  <c r="G22" i="12" s="1"/>
</calcChain>
</file>

<file path=xl/sharedStrings.xml><?xml version="1.0" encoding="utf-8"?>
<sst xmlns="http://schemas.openxmlformats.org/spreadsheetml/2006/main" count="1825" uniqueCount="938">
  <si>
    <t>CATALOGUE DES ARTICLES  —  مديرية التربية — البيض  [v8.1 | 12 articles | Catégorie + Alias]</t>
  </si>
  <si>
    <t>ART-001</t>
  </si>
  <si>
    <t>Toner imprimante G030 (noir)</t>
  </si>
  <si>
    <t>Informatique</t>
  </si>
  <si>
    <t>A</t>
  </si>
  <si>
    <t>F-001</t>
  </si>
  <si>
    <t>Fournitures d'impression</t>
  </si>
  <si>
    <t>ART-002</t>
  </si>
  <si>
    <t>Rame papier A4 80g/m2</t>
  </si>
  <si>
    <t>Fournitures Bureau</t>
  </si>
  <si>
    <t>F-002</t>
  </si>
  <si>
    <t>Papeterie standard</t>
  </si>
  <si>
    <t>ART-003</t>
  </si>
  <si>
    <t>Rame papier A3 80g/m2</t>
  </si>
  <si>
    <t>B</t>
  </si>
  <si>
    <t>Papier grand format</t>
  </si>
  <si>
    <t>ART-004</t>
  </si>
  <si>
    <t>Boite archives carton</t>
  </si>
  <si>
    <t>Admin</t>
  </si>
  <si>
    <t>F-003</t>
  </si>
  <si>
    <t>Archivage physique</t>
  </si>
  <si>
    <t>ART-005</t>
  </si>
  <si>
    <t>Agrafeuse de bureau</t>
  </si>
  <si>
    <t>C</t>
  </si>
  <si>
    <t>Petit materiel</t>
  </si>
  <si>
    <t>ART-006</t>
  </si>
  <si>
    <t>Stylos bille boite/50</t>
  </si>
  <si>
    <t>Consommables ecriture</t>
  </si>
  <si>
    <t>ART-007</t>
  </si>
  <si>
    <t>Registre grand format 5m</t>
  </si>
  <si>
    <t>Registres officiels</t>
  </si>
  <si>
    <t>ART-008</t>
  </si>
  <si>
    <t>Encre tampon</t>
  </si>
  <si>
    <t>Consommables tampon</t>
  </si>
  <si>
    <t>ART-009</t>
  </si>
  <si>
    <t>Sous-chemise carton</t>
  </si>
  <si>
    <t>Chemises classement</t>
  </si>
  <si>
    <t>ART-010</t>
  </si>
  <si>
    <t>Chemise cartonnee</t>
  </si>
  <si>
    <t>Chemises documents</t>
  </si>
  <si>
    <t>ART-011</t>
  </si>
  <si>
    <t>Rouleau papier fax</t>
  </si>
  <si>
    <t>Consommables fax</t>
  </si>
  <si>
    <t>ART-012</t>
  </si>
  <si>
    <t>Marqueur permanent noir</t>
  </si>
  <si>
    <t>Marquage etatiquetage</t>
  </si>
  <si>
    <t>ART-013</t>
  </si>
  <si>
    <t>Encre pour cachets</t>
  </si>
  <si>
    <t>Encre sceaux officiels</t>
  </si>
  <si>
    <t>ART-014</t>
  </si>
  <si>
    <t>Classeur a levier</t>
  </si>
  <si>
    <t>Classement archives</t>
  </si>
  <si>
    <t>ART-015</t>
  </si>
  <si>
    <t>Cartouche toner generique</t>
  </si>
  <si>
    <t>Toner compatible HP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</si>
  <si>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</si>
  <si>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</si>
  <si>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</si>
  <si>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</si>
  <si>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</si>
  <si>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</si>
  <si>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</si>
  <si>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</si>
  <si>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</si>
  <si>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</si>
  <si>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ENAP Alger</t>
  </si>
  <si>
    <t>Entreprise Nationale des Arts Plastiques, Alger</t>
  </si>
  <si>
    <t>Alger</t>
  </si>
  <si>
    <t>023-XXX-XXXX</t>
  </si>
  <si>
    <t>Arts Graphiques &amp; Papeterie</t>
  </si>
  <si>
    <t>Bureautique Oran</t>
  </si>
  <si>
    <t>Societe de Fournitures de Bureau, Oran</t>
  </si>
  <si>
    <t>Oran</t>
  </si>
  <si>
    <t>041-XXX-XXXX</t>
  </si>
  <si>
    <t>Fournitures de Bureau</t>
  </si>
  <si>
    <t>Bureau Plus</t>
  </si>
  <si>
    <t>Bureau Plus Distribution, El Bayadh</t>
  </si>
  <si>
    <t>El Bayadh</t>
  </si>
  <si>
    <t>049-XXX-XXXX</t>
  </si>
  <si>
    <t>Materiel Scolaire &amp; Informatique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</si>
  <si>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</si>
  <si>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</si>
  <si>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</si>
  <si>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</si>
  <si>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</si>
  <si>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</si>
  <si>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</si>
  <si>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</si>
  <si>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</si>
  <si>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</si>
  <si>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</si>
  <si>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</si>
  <si>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</si>
  <si>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</si>
  <si>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</si>
  <si>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</si>
  <si>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</si>
  <si>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</si>
  <si>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</si>
  <si>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</si>
  <si>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</si>
  <si>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</si>
  <si>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</si>
  <si>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</si>
  <si>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</si>
  <si>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</si>
  <si>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</si>
  <si>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</si>
  <si>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</si>
  <si>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</si>
  <si>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</si>
  <si>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</si>
  <si>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</si>
  <si>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</si>
  <si>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</si>
  <si>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</si>
  <si>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</si>
  <si>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</si>
  <si>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</si>
  <si>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</si>
  <si>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</si>
  <si>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</si>
  <si>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</si>
  <si>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</si>
  <si>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</si>
  <si>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</si>
  <si>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</si>
  <si>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</si>
  <si>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</si>
  <si>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</si>
  <si>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</si>
  <si>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</si>
  <si>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</si>
  <si>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</si>
  <si>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</si>
  <si>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</si>
  <si>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</si>
  <si>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</si>
  <si>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</si>
  <si>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</si>
  <si>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</si>
  <si>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</si>
  <si>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</si>
  <si>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</si>
  <si>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</si>
  <si>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</si>
  <si>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</si>
  <si>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</si>
  <si>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</si>
  <si>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</si>
  <si>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</si>
  <si>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</si>
  <si>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</si>
  <si>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</si>
  <si>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</si>
  <si>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Date</t>
  </si>
  <si>
    <t>Code Article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</si>
  <si>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</si>
  <si>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</si>
  <si>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</si>
  <si>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</si>
  <si>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</si>
  <si>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</si>
  <si>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</si>
  <si>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</si>
  <si>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</si>
  <si>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</si>
  <si>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</si>
  <si>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OUT</t>
  </si>
  <si>
    <t>BS-2026-0007</t>
  </si>
  <si>
    <t>Service Archives</t>
  </si>
  <si>
    <t>BS-2026-0001</t>
  </si>
  <si>
    <t>Direction</t>
  </si>
  <si>
    <t>BS-2026-0028</t>
  </si>
  <si>
    <t>IN</t>
  </si>
  <si>
    <t>BR-2026-0010</t>
  </si>
  <si>
    <t>BR-2026-0015</t>
  </si>
  <si>
    <t>BR-2026-0016</t>
  </si>
  <si>
    <t>BR-2026-0017</t>
  </si>
  <si>
    <t>BR-2026-0018</t>
  </si>
  <si>
    <t>BS-2026-0018</t>
  </si>
  <si>
    <t>Service Comptabilite</t>
  </si>
  <si>
    <t>BR-2026-0007</t>
  </si>
  <si>
    <t>BR-2026-0011</t>
  </si>
  <si>
    <t>BS-2026-0008</t>
  </si>
  <si>
    <t>Service Informatique</t>
  </si>
  <si>
    <t>BR-2026-0008</t>
  </si>
  <si>
    <t>BS-2026-0038</t>
  </si>
  <si>
    <t>BS-2026-0023</t>
  </si>
  <si>
    <t>BR-2026-0012</t>
  </si>
  <si>
    <t>BS-2026-0053</t>
  </si>
  <si>
    <t>BS-2026-0002</t>
  </si>
  <si>
    <t>BS-2026-0043</t>
  </si>
  <si>
    <t>BS-2026-0009</t>
  </si>
  <si>
    <t>BR-2026-0003</t>
  </si>
  <si>
    <t>BS-2026-0034</t>
  </si>
  <si>
    <t>BS-2026-0029</t>
  </si>
  <si>
    <t>BS-2026-0050</t>
  </si>
  <si>
    <t>Service Juridique</t>
  </si>
  <si>
    <t>BR-2026-0001</t>
  </si>
  <si>
    <t>BS-2026-0019</t>
  </si>
  <si>
    <t>BS-2026-0048</t>
  </si>
  <si>
    <t>BS-2026-0057</t>
  </si>
  <si>
    <t>BS-2026-0026</t>
  </si>
  <si>
    <t>BS-2026-0003</t>
  </si>
  <si>
    <t>BS-2026-0010</t>
  </si>
  <si>
    <t>BS-2026-0039</t>
  </si>
  <si>
    <t>BS-2026-0055</t>
  </si>
  <si>
    <t>BR-2026-0005</t>
  </si>
  <si>
    <t>BS-2026-0030</t>
  </si>
  <si>
    <t>BS-2026-0044</t>
  </si>
  <si>
    <t>BS-2026-0011</t>
  </si>
  <si>
    <t>BR-2026-0009</t>
  </si>
  <si>
    <t>BS-2026-0036</t>
  </si>
  <si>
    <t>BS-2026-0024</t>
  </si>
  <si>
    <t>BS-2026-0020</t>
  </si>
  <si>
    <t>BS-2026-0004</t>
  </si>
  <si>
    <t>BS-2026-0012</t>
  </si>
  <si>
    <t>BR-2026-0013</t>
  </si>
  <si>
    <t>BS-2026-0051</t>
  </si>
  <si>
    <t>BR-2026-0019</t>
  </si>
  <si>
    <t>BS-2026-0040</t>
  </si>
  <si>
    <t>BR-2026-0006</t>
  </si>
  <si>
    <t>BS-2026-0031</t>
  </si>
  <si>
    <t>BR-2026-0014</t>
  </si>
  <si>
    <t>BS-2026-0054</t>
  </si>
  <si>
    <t>BS-2026-0045</t>
  </si>
  <si>
    <t>BS-2026-0013</t>
  </si>
  <si>
    <t>BS-2026-0035</t>
  </si>
  <si>
    <t>BS-2026-0058</t>
  </si>
  <si>
    <t>BR-2026-0004</t>
  </si>
  <si>
    <t>BS-2026-0021</t>
  </si>
  <si>
    <t>BS-2026-0005</t>
  </si>
  <si>
    <t>BS-2026-0014</t>
  </si>
  <si>
    <t>BS-2026-0049</t>
  </si>
  <si>
    <t>BS-2026-0025</t>
  </si>
  <si>
    <t>BS-2026-0041</t>
  </si>
  <si>
    <t>BS-2026-0056</t>
  </si>
  <si>
    <t>BS-2026-0027</t>
  </si>
  <si>
    <t>BS-2026-0032</t>
  </si>
  <si>
    <t>BR-2026-0002</t>
  </si>
  <si>
    <t>BS-2026-0015</t>
  </si>
  <si>
    <t>BS-2026-0046</t>
  </si>
  <si>
    <t>BS-2026-0052</t>
  </si>
  <si>
    <t>BS-2026-0037</t>
  </si>
  <si>
    <t>BS-2026-0022</t>
  </si>
  <si>
    <t>BS-2026-0006</t>
  </si>
  <si>
    <t>BS-2026-0016</t>
  </si>
  <si>
    <t>BS-2026-0033</t>
  </si>
  <si>
    <t>BS-2026-0042</t>
  </si>
  <si>
    <t>BS-2026-0059</t>
  </si>
  <si>
    <t>BS-2026-0017</t>
  </si>
  <si>
    <t>BS-2026-0047</t>
  </si>
  <si>
    <t>نظام ERP — مخزن مديرية التربية — ولاية البيض</t>
  </si>
  <si>
    <t>ERP_Academie_v13.2  |  Excel 2010 Compatible  |  D=789 | Q*=37 | ROP=206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</si>
  <si>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</si>
  <si>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</si>
  <si>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</si>
  <si>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</si>
  <si>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</si>
  <si>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</si>
  <si>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</si>
  <si>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</si>
  <si>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</si>
  <si>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</si>
  <si>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</si>
  <si>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v13.2  |  mai 2026  [DSS Logistique]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</si>
  <si>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</si>
  <si>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</si>
  <si>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</si>
  <si>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</si>
  <si>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15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</si>
  <si>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</si>
  <si>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</si>
  <si>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</si>
  <si>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</si>
  <si>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</si>
  <si>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</si>
  <si>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</si>
  <si>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</si>
  <si>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</si>
  <si>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</si>
  <si>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</si>
  <si>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</si>
  <si>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</si>
  <si>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</si>
  <si>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</si>
  <si>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</si>
  <si>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</si>
  <si>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</si>
  <si>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</si>
  <si>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</si>
  <si>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</si>
  <si>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</si>
  <si>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</si>
  <si>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</si>
  <si>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</si>
  <si>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</si>
  <si>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</si>
  <si>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Total Articles</t>
  </si>
  <si>
    <t>Articles en RUPTURE</t>
  </si>
  <si>
    <t>Articles en ALERTE</t>
  </si>
  <si>
    <t>Valeur Total Stock</t>
  </si>
  <si>
    <t>Rotation Moyenne (ITR)</t>
  </si>
  <si>
    <t>Calcul Local</t>
  </si>
  <si>
    <t>SKU</t>
  </si>
  <si>
    <t>Designation</t>
  </si>
  <si>
    <t>Stock</t>
  </si>
  <si>
    <t>Etat</t>
  </si>
  <si>
    <t>ALERTE</t>
  </si>
  <si>
    <t>Nombre d'articles</t>
  </si>
  <si>
    <t>Projection des Ruptures</t>
  </si>
  <si>
    <t>Article</t>
  </si>
  <si>
    <t>Cons./Jour</t>
  </si>
  <si>
    <t>Jours Rest.</t>
  </si>
  <si>
    <t>Derniere actualisation : 17-07-2026 23:23:37</t>
  </si>
  <si>
    <t>Parameter</t>
  </si>
  <si>
    <t>Value</t>
  </si>
  <si>
    <t>Unit</t>
  </si>
  <si>
    <t>Description</t>
  </si>
  <si>
    <t>ORDER_COST_S</t>
  </si>
  <si>
    <t>DZD</t>
  </si>
  <si>
    <t>Cost per order (S) - Wilson EOQ</t>
  </si>
  <si>
    <t>HOLDING_RATE</t>
  </si>
  <si>
    <t>ratio</t>
  </si>
  <si>
    <t>Annual holding cost rate (I) - 20%</t>
  </si>
  <si>
    <t>LEAD_TIME_DEFAULT</t>
  </si>
  <si>
    <t>days</t>
  </si>
  <si>
    <t>Default supplier lead time (LT)</t>
  </si>
  <si>
    <t>WORKING_DAYS_PER_YEAR</t>
  </si>
  <si>
    <t>Algerian working days per year</t>
  </si>
  <si>
    <t>OBSERVATION_DAYS</t>
  </si>
  <si>
    <t>Internship observation period</t>
  </si>
  <si>
    <t>MASTER_PWD</t>
  </si>
  <si>
    <t>erp_secure_pwd_2026</t>
  </si>
  <si>
    <t>-</t>
  </si>
  <si>
    <t>System password</t>
  </si>
  <si>
    <t>SERVICE_LEVEL_Z</t>
  </si>
  <si>
    <t>Service level factor (95% = 1.65)</t>
  </si>
  <si>
    <t>TABLEAU DE BORD  --  ETAT DU STOCK + STATUTS ROP  [v13.2 | 15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</si>
  <si>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</si>
  <si>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</si>
  <si>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</si>
  <si>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</si>
  <si>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</si>
  <si>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</si>
  <si>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Stock Min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</si>
  <si>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</si>
  <si>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</si>
  <si>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</si>
  <si>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</si>
  <si>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</si>
  <si>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</si>
  <si>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</si>
  <si>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</si>
  <si>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</si>
  <si>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</si>
  <si>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LEGENDE:  OK = stock suffisant  |  ~ ALERTE = stock &lt; 125% du ROP  |  &gt;&gt; COMMANDER = stock &lt;= ROP  |  !! RUPTURE = stock nul  |  ROP = Stock_Min + (SumOuts/38j) x 2j  |  CMUP = K/MAX(1,SumIN)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</si>
  <si>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</si>
  <si>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</si>
  <si>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</si>
  <si>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</si>
  <si>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</si>
  <si>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</si>
  <si>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</si>
  <si>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</si>
  <si>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0 / 15 articles</t>
  </si>
  <si>
    <t>DÉTAIL PAR ARTICLE — ÉTAT COMPLET</t>
  </si>
  <si>
    <t>Stock Actuel</t>
  </si>
  <si>
    <t>ROP</t>
  </si>
  <si>
    <t>Priorité</t>
  </si>
  <si>
    <t>Action recommandée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</si>
  <si>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</si>
  <si>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</si>
  <si>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</si>
  <si>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</si>
  <si>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</si>
  <si>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Saisir le stock physique constaté (colonne D) lors de chaque opération d'inventaire.</t>
  </si>
  <si>
    <t>RAPPORTS -- التقارير الدورية | مخزن مديرية التربية -- ولاية البيض</t>
  </si>
  <si>
    <t>الارقام تُحسَب تلقائياً من ورقة MOUVEMENTS. أدخل التواريخ في الخلايا المحددة بالإطار السميك لتصفية الفترة المطلوبة.</t>
  </si>
  <si>
    <t xml:space="preserve">  الاسبوعي  --  Rapport Hebdomadaire -- Frequence: chaque lundi</t>
  </si>
  <si>
    <t>من  /  Du :</t>
  </si>
  <si>
    <t>24-05-2026</t>
  </si>
  <si>
    <t>إلى  /  À :</t>
  </si>
  <si>
    <t>31-05-2026</t>
  </si>
  <si>
    <t>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</si>
  <si>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</si>
  <si>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</si>
  <si>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</si>
  <si>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</si>
  <si>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</si>
  <si>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</si>
  <si>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</si>
  <si>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</si>
  <si>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!! RUPTURE</t>
  </si>
  <si>
    <t>Total période</t>
  </si>
  <si>
    <t>التقرير الاسبوعي يُطبَع كل اثنين ويُسلَّم لمسؤول الوسائل. يُركِّز على مواد الفئة A (ورق A4 + حبر الطابعة).</t>
  </si>
  <si>
    <t xml:space="preserve">  الشهري  --  Rapport Mensuel -- Frequence: fin de chaque mois</t>
  </si>
  <si>
    <t>01-05-2026</t>
  </si>
  <si>
    <t>التقرير الشهري يُقدَّم لمصلحة الميزانية. يُقارَن رصيد نهاية الشهر بالرصيد الافتتاحي لقياس معدل الاستهلاك.</t>
  </si>
  <si>
    <t xml:space="preserve">  الفصلي (3 أشهر)  --  Rapport Trimestriel -- Frequence: janv / avr / juil / oct</t>
  </si>
  <si>
    <t>التقرير الفصلي يشمل جميع الفئات (A+B+C). يُستخدَم لتقدير احتياجات الشراء للفصل القادم وإعداد طلبيات DA.</t>
  </si>
  <si>
    <t xml:space="preserve">  السداسي (6 أشهر)  --  Rapport Semestriel -- Frequence: juin / décembre</t>
  </si>
  <si>
    <t>التقرير السداسي يُقدَّم في الاجتماع الإداري نصف السنوي. يُركِّز على مطابقة الجرد المحاسبي بالجرد الفيزيائي (راجع ورقة INVENTAIRE).</t>
  </si>
  <si>
    <t>ERP_Academie_v9  |  مديرية التربية -- ولاية البيض  |  ماحي كمال عبد الغني -- TAG1801  |  02/04/2026</t>
  </si>
  <si>
    <t>MODÈLE DE WILSON — EOQ  [OPT-03 | D Auto-annualisé | ART-002 Toner G030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</si>
  <si>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</si>
  <si>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</si>
  <si>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</si>
  <si>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</si>
  <si>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</si>
  <si>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</si>
  <si>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</si>
  <si>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[référence ARTICLES]</t>
  </si>
  <si>
    <t>DA/unité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</si>
  <si>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</si>
  <si>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</si>
  <si>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</si>
  <si>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</si>
  <si>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</si>
  <si>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</si>
  <si>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</si>
  <si>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</si>
  <si>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</si>
  <si>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</si>
  <si>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</si>
  <si>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</si>
  <si>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</si>
  <si>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</si>
  <si>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</si>
  <si>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</si>
  <si>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</si>
  <si>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</si>
  <si>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</si>
  <si>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</si>
  <si>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</si>
  <si>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</si>
  <si>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</si>
  <si>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MODÈLE EOQ pour ART-002 (Toner G030 - HP LaserJet). D calculé automatiquement depuis MOUVEMENTS (38j obs. × 250j ouvrables). S=801.45 DA/commande (analyse terrain). PU=1200 DA référence compatible depuis ARTICLES.</t>
  </si>
  <si>
    <t>HISTORIQUE DES COMMANDES  —  سجل الطلبيات  [Bon de Commande]</t>
  </si>
  <si>
    <t>N° BC</t>
  </si>
  <si>
    <t>N° DA (Origine)</t>
  </si>
  <si>
    <t>Date commande</t>
  </si>
  <si>
    <t>Fournisseur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</si>
  <si>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</si>
  <si>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</si>
  <si>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</si>
  <si>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</si>
  <si>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</si>
  <si>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</si>
  <si>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</si>
  <si>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</si>
  <si>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</si>
  <si>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</si>
  <si>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</si>
  <si>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</si>
  <si>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</si>
  <si>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</si>
  <si>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</si>
  <si>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</si>
  <si>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</si>
  <si>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</si>
  <si>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</si>
  <si>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</si>
  <si>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</si>
  <si>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</si>
  <si>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</si>
  <si>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Qté: 50</t>
  </si>
  <si>
    <t>#</t>
  </si>
  <si>
    <t>Réf: Sous-chemise carton</t>
  </si>
  <si>
    <t>Désignation  /  التسمية</t>
  </si>
  <si>
    <t>Unité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</si>
  <si>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</si>
  <si>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</si>
  <si>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</si>
  <si>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</si>
  <si>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</si>
  <si>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</si>
  <si>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</si>
  <si>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</si>
  <si>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</si>
  <si>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</si>
  <si>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</si>
  <si>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</si>
  <si>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</si>
  <si>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</si>
  <si>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</si>
  <si>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</si>
  <si>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</si>
  <si>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</si>
  <si>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</si>
  <si>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</si>
  <si>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Code
Article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</si>
  <si>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</si>
  <si>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</si>
  <si>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</si>
  <si>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</si>
  <si>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</si>
  <si>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</si>
  <si>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</si>
  <si>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</si>
  <si>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</si>
  <si>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</si>
  <si>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</si>
  <si>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</si>
  <si>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</si>
  <si>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</si>
  <si>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</si>
  <si>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</si>
  <si>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</si>
  <si>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</si>
  <si>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</si>
  <si>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</si>
  <si>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</si>
  <si>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</si>
  <si>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</si>
  <si>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</si>
  <si>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</si>
  <si>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</si>
  <si>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</si>
  <si>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</si>
  <si>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</si>
  <si>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</si>
  <si>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</si>
  <si>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</si>
  <si>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</si>
  <si>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</si>
  <si>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</si>
  <si>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</si>
  <si>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</si>
  <si>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</si>
  <si>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</si>
  <si>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</si>
  <si>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</si>
  <si>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</si>
  <si>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</si>
  <si>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</si>
  <si>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</si>
  <si>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</si>
  <si>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</si>
  <si>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</si>
  <si>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</si>
  <si>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</si>
  <si>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</si>
  <si>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</si>
  <si>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</si>
  <si>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</si>
  <si>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</si>
  <si>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</si>
  <si>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</si>
  <si>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</si>
  <si>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</si>
  <si>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</si>
  <si>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</si>
  <si>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</si>
  <si>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</si>
  <si>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</si>
  <si>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</si>
  <si>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</si>
  <si>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</si>
  <si>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</si>
  <si>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</si>
  <si>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</si>
  <si>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</si>
  <si>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</si>
  <si>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</si>
  <si>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</si>
  <si>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</si>
  <si>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</si>
  <si>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</si>
  <si>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</si>
  <si>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</si>
  <si>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</si>
  <si>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</si>
  <si>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</si>
  <si>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</si>
  <si>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</si>
  <si>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</si>
  <si>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</si>
  <si>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</si>
  <si>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</si>
  <si>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</si>
  <si>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</si>
  <si>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</si>
  <si>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</si>
  <si>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</si>
  <si>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</si>
  <si>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</si>
  <si>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</si>
  <si>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</si>
  <si>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</si>
  <si>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</si>
  <si>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</si>
  <si>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</si>
  <si>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</si>
  <si>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</si>
  <si>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</si>
  <si>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</si>
  <si>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</si>
  <si>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</si>
  <si>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</si>
  <si>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</si>
  <si>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</si>
  <si>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</si>
  <si>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</si>
  <si>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</si>
  <si>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</si>
  <si>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</si>
  <si>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</si>
  <si>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</si>
  <si>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</si>
  <si>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</si>
  <si>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</si>
  <si>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</si>
  <si>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</si>
  <si>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</si>
  <si>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</si>
  <si>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</si>
  <si>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</si>
  <si>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</si>
  <si>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</si>
  <si>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</si>
  <si>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</si>
  <si>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</si>
  <si>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</si>
  <si>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</si>
  <si>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</si>
  <si>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</si>
  <si>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</si>
  <si>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</si>
  <si>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</si>
  <si>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</si>
  <si>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</si>
  <si>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</si>
  <si>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</si>
  <si>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</si>
  <si>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</si>
  <si>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</si>
  <si>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</si>
  <si>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</si>
  <si>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</si>
  <si>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</si>
  <si>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</si>
  <si>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</si>
  <si>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</si>
  <si>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</si>
  <si>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</si>
  <si>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</si>
  <si>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</si>
  <si>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</si>
  <si>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</si>
  <si>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</si>
  <si>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</si>
  <si>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</si>
  <si>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</si>
  <si>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</si>
  <si>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- Journal des Actions (ecrit automatiquement par VBA)</t>
  </si>
  <si>
    <t>Toute modification de MOUVEMENTS est consignée automatiquement ici par la macro JournaliserAction().</t>
  </si>
  <si>
    <t>Horodatage</t>
  </si>
  <si>
    <t>Utilisateur</t>
  </si>
  <si>
    <t>Action</t>
  </si>
  <si>
    <t>Reference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</si>
  <si>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</si>
  <si>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</si>
  <si>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</si>
  <si>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</si>
  <si>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</si>
  <si>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</si>
  <si>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</si>
  <si>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</si>
  <si>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</si>
  <si>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</si>
  <si>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</si>
  <si>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</si>
  <si>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</si>
  <si>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</si>
  <si>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</si>
  <si>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</si>
  <si>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</si>
  <si>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</si>
  <si>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</si>
  <si>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Administrator</t>
  </si>
  <si>
    <t>Bon de Sortie</t>
  </si>
  <si>
    <t>BS-2026-2504-001</t>
  </si>
  <si>
    <t>Demande d'Achat</t>
  </si>
  <si>
    <t>BR-2026-2604-001</t>
  </si>
  <si>
    <t>BS-2026-2604-001</t>
  </si>
  <si>
    <t>DA-2026-2604-001</t>
  </si>
  <si>
    <t>SESSION_LOGIN</t>
  </si>
  <si>
    <t>User Administrator (Directeur)</t>
  </si>
  <si>
    <t>Directeur</t>
  </si>
  <si>
    <t>SESSION_BACKUP</t>
  </si>
  <si>
    <t>Auto-backup: ACADEMIX_Backup_20260527_010504.xlsm</t>
  </si>
  <si>
    <t>Auto-backup: ACADEMIX_Backup_20260529_001240.xlsm</t>
  </si>
  <si>
    <t>Auto-backup: ACADEMIX_Backup_20260530_233702.xlsm</t>
  </si>
  <si>
    <t>Auto-backup: ACADEMIX_Backup_20260530_233750.xlsm</t>
  </si>
  <si>
    <t>Auto-backup: ACADEMIX_Backup_20260531_001555.xlsm</t>
  </si>
  <si>
    <t>Auto-backup: ACADEMIX_Backup_20260531_001936.xlsm</t>
  </si>
  <si>
    <t>Auto-backup: ACADEMIX_Backup_20260531_005501.xlsm</t>
  </si>
  <si>
    <t>Auto-backup: ACADEMIX_Backup_20260531_005754.xlsm</t>
  </si>
  <si>
    <t>Auto-backup: ACADEMIX_Backup_20260531_005900.xlsm</t>
  </si>
  <si>
    <t>Auto-backup: ACADEMIX_Backup_20260531_010009.xlsm</t>
  </si>
  <si>
    <t>Auto-backup: ACADEMIX_Backup_20260531_010142.xlsm</t>
  </si>
  <si>
    <t>Auto-backup: ACADEMIX_Backup_20260531_010439.xlsm</t>
  </si>
  <si>
    <t>Auto-backup: ACADEMIX_Backup_20260531_010521.xlsm</t>
  </si>
  <si>
    <t>Auto-backup: ACADEMIX_Backup_20260531_010605.xlsm</t>
  </si>
  <si>
    <t>Auto-backup: ACADEMIX_Backup_20260531_010838.xlsm</t>
  </si>
  <si>
    <t>Auto-backup: ACADEMIX_Backup_20260531_012150.xlsm</t>
  </si>
  <si>
    <t>Auto-backup: ACADEMIX_Backup_20260531_012256.xlsm</t>
  </si>
  <si>
    <t>Auto-backup: ACADEMIX_Backup_20260531_013205.xlsm</t>
  </si>
  <si>
    <t>SESSION_LOGIN: User Administrator (Directeur)</t>
  </si>
  <si>
    <t>SESSION_BACKUP: Auto-backup: ACADEMIX_Backup_20260607_153129.xlsm</t>
  </si>
  <si>
    <t>SESSION_BACKUP: Auto-backup: ACADEMIX_Backup_20260607_153819.xlsm</t>
  </si>
  <si>
    <t>SESSION_BACKUP: Auto-backup: ACADEMIX_Backup_20260607_155408.xlsm</t>
  </si>
  <si>
    <t>SESSION_BACKUP: Auto-backup: ACADEMIX_Backup_20260607_163627.xlsm</t>
  </si>
  <si>
    <t>SESSION_BACKUP: Auto-backup: ACADEMIX_Backup_20260607_170052.xlsm</t>
  </si>
  <si>
    <t>SESSION_BACKUP: Auto-backup: ACADEMIX_Backup_20260607_171151.xlsm</t>
  </si>
  <si>
    <t>SESSION_BACKUP: Auto-backup: ACADEMIX_Backup_20260607_173139.xlsm</t>
  </si>
  <si>
    <t>SESSION_BACKUP: Auto-backup: ACADEMIX_Backup_20260607_174923.xlsm</t>
  </si>
  <si>
    <t>SESSION_BACKUP: Auto-backup: ACADEMIX_Backup_20260607_181822.xlsm</t>
  </si>
  <si>
    <t>SESSION_LOGIN: User Admin (Directeur)</t>
  </si>
  <si>
    <t>SESSION_BACKUP: Auto-backup: ACADEMIX_Backup_20260717_204930.xlsm</t>
  </si>
  <si>
    <t>SESSION_BACKUP: Auto-backup: ACADEMIX_Backup_20260718_121430.xlsm</t>
  </si>
  <si>
    <t>SESSION_BACKUP: Auto-backup: ACADEMIX_Backup_20260718_122619.xlsm</t>
  </si>
  <si>
    <t>SESSION_BACKUP: Auto-backup: ACADEMIX_Backup_20260718_124139.xlsm</t>
  </si>
  <si>
    <t>نموذج إدخال حركة المخزون - Entry Form</t>
  </si>
  <si>
    <t>رمز المادة (SKU):</t>
  </si>
  <si>
    <t>نوع الحركة (IN/OUT):</t>
  </si>
  <si>
    <t>الكمية (Quantity):</t>
  </si>
  <si>
    <t>مرجع الوثيقة:</t>
  </si>
  <si>
    <t>Seuil ROP</t>
  </si>
  <si>
    <t>Suggestion (EOQ)</t>
  </si>
  <si>
    <t>Prix Unit.</t>
  </si>
  <si>
    <t>Total Estime (DZD)</t>
  </si>
  <si>
    <t>Encre pour Cachets</t>
  </si>
  <si>
    <t>TOTAL ESTIMÉ :</t>
  </si>
  <si>
    <t>BARCODE_MAP</t>
  </si>
  <si>
    <t>Default barcode mapping</t>
  </si>
  <si>
    <t>STRING_ID</t>
  </si>
  <si>
    <t>ARABIC_TEXT</t>
  </si>
  <si>
    <t>SYS_TITLE</t>
  </si>
  <si>
    <t>نظام دعم القرار - مديرية التربية</t>
  </si>
  <si>
    <t>ERR_SYNC_ABSENT</t>
  </si>
  <si>
    <t>مزامنة بايثون غير موجودة</t>
  </si>
  <si>
    <t>ERR_ART_NOT_FOUND</t>
  </si>
  <si>
    <t>المادة غير موجودة</t>
  </si>
  <si>
    <t>MSG_SUCCESS</t>
  </si>
  <si>
    <t>تم بنجاح</t>
  </si>
  <si>
    <t>BTN_SAVE</t>
  </si>
  <si>
    <t>حفظ</t>
  </si>
  <si>
    <t>BTN_CANCEL</t>
  </si>
  <si>
    <t>إلغاء</t>
  </si>
  <si>
    <t>BTN_REFRESH</t>
  </si>
  <si>
    <t>تحديث</t>
  </si>
  <si>
    <t>LBL_STOCK</t>
  </si>
  <si>
    <t>المخزون</t>
  </si>
  <si>
    <t>LBL_EOF</t>
  </si>
  <si>
    <t>نهاية الفترة</t>
  </si>
  <si>
    <t>LBL_ARTICLE</t>
  </si>
  <si>
    <t>المادة</t>
  </si>
  <si>
    <t>LBL_QUANTITY</t>
  </si>
  <si>
    <t>الكمية</t>
  </si>
  <si>
    <t>LBL_UNIT_PRICE</t>
  </si>
  <si>
    <t>السعر الوحدوي</t>
  </si>
  <si>
    <t>LBL_DATE</t>
  </si>
  <si>
    <t>التاريخ</t>
  </si>
  <si>
    <t>LBL_TYPE</t>
  </si>
  <si>
    <t>النوع</t>
  </si>
  <si>
    <t>MSG_CONFIRM_SAVE</t>
  </si>
  <si>
    <t>تأكيد الحفظ</t>
  </si>
  <si>
    <t>MSG_LOADING</t>
  </si>
  <si>
    <t>جاري التحميل...</t>
  </si>
  <si>
    <t>ERR_INVALID_DATA</t>
  </si>
  <si>
    <t>بيانات غير صالحة</t>
  </si>
  <si>
    <t>MENU_STOCK</t>
  </si>
  <si>
    <t>إدارة المخزون</t>
  </si>
  <si>
    <t>MENU_MOUVEMENTS</t>
  </si>
  <si>
    <t>الحركات</t>
  </si>
  <si>
    <t>MENU_ARTICLES</t>
  </si>
  <si>
    <t>المواد</t>
  </si>
  <si>
    <t>MENU_DASHBOARD</t>
  </si>
  <si>
    <t>لوحة القيادة</t>
  </si>
  <si>
    <t>MENU_REPORTS</t>
  </si>
  <si>
    <t>التقارير</t>
  </si>
  <si>
    <t>MENU_SETTINGS</t>
  </si>
  <si>
    <t>الإعدادات</t>
  </si>
  <si>
    <t>TYPE_ENTRY</t>
  </si>
  <si>
    <t>دخول</t>
  </si>
  <si>
    <t>TYPE_EXIT</t>
  </si>
  <si>
    <t>خروج</t>
  </si>
  <si>
    <t>TYPE_TRANSFER</t>
  </si>
  <si>
    <t>تحويل</t>
  </si>
  <si>
    <t>TYPE_ADJUST</t>
  </si>
  <si>
    <t>تسوية</t>
  </si>
  <si>
    <t>DASH_TOTAL_ITEMS</t>
  </si>
  <si>
    <t>إجمالي المواد</t>
  </si>
  <si>
    <t>DASH_TOTAL_VALUE</t>
  </si>
  <si>
    <t>إجمالي القيمة</t>
  </si>
  <si>
    <t>DASH_LOW_STOCK</t>
  </si>
  <si>
    <t>مخزون ضعيف</t>
  </si>
  <si>
    <t>DASH_OUT_OF_STOCK</t>
  </si>
  <si>
    <t>نفاد المخزون</t>
  </si>
  <si>
    <t>DASH_NORMAL</t>
  </si>
  <si>
    <t>مخزون طبيعي</t>
  </si>
  <si>
    <t>ALERT_LOW_STOCK</t>
  </si>
  <si>
    <t>تنبيه: مخزون ضعيف</t>
  </si>
  <si>
    <t>ALERT_OUT_OF_STOCK</t>
  </si>
  <si>
    <t>تنبيه: نفاد المخزون</t>
  </si>
  <si>
    <t>ALERT_REORDER</t>
  </si>
  <si>
    <t>تنبيه: بلغت نقطة إعادة الطلب</t>
  </si>
  <si>
    <t>REPORT_MONTHLY</t>
  </si>
  <si>
    <t>التقرير الشهري</t>
  </si>
  <si>
    <t>REPORT_STOCK_CARD</t>
  </si>
  <si>
    <t>بطاقة المخزون</t>
  </si>
  <si>
    <t>REPORT_LOW_STOCK</t>
  </si>
  <si>
    <t>تقرير المخزون الضعيف</t>
  </si>
  <si>
    <t>REPORT_MOVEMENTS</t>
  </si>
  <si>
    <t>تقرير الحركات</t>
  </si>
  <si>
    <t>ACTION_ADD</t>
  </si>
  <si>
    <t>إضافة</t>
  </si>
  <si>
    <t>ACTION_EDIT</t>
  </si>
  <si>
    <t>تعديل</t>
  </si>
  <si>
    <t>ACTION_DELETE</t>
  </si>
  <si>
    <t>حذف</t>
  </si>
  <si>
    <t>ACTION_SEARCH</t>
  </si>
  <si>
    <t>بحث</t>
  </si>
  <si>
    <t>ACTION_PRINT</t>
  </si>
  <si>
    <t>طباعة</t>
  </si>
  <si>
    <t>ACTION_EXPORT</t>
  </si>
  <si>
    <t>تصدير</t>
  </si>
  <si>
    <t>ACTION_IMPORT</t>
  </si>
  <si>
    <t>استيراد</t>
  </si>
  <si>
    <t>ACTION_CALCULATE</t>
  </si>
  <si>
    <t>حساب</t>
  </si>
  <si>
    <t>FIELD_CODE</t>
  </si>
  <si>
    <t>الرمز</t>
  </si>
  <si>
    <t>FIELD_NAME</t>
  </si>
  <si>
    <t>الاسم</t>
  </si>
  <si>
    <t>FIELD_DESIGNATION</t>
  </si>
  <si>
    <t>FIELD_CATEGORY</t>
  </si>
  <si>
    <t>FIELD_UNIT</t>
  </si>
  <si>
    <t>الوحدة</t>
  </si>
  <si>
    <t>FIELD_MIN_STOCK</t>
  </si>
  <si>
    <t>الحد الأدنى</t>
  </si>
  <si>
    <t>FIELD_MAX_STOCK</t>
  </si>
  <si>
    <t>الحد الأقصى</t>
  </si>
  <si>
    <t>FIELD_SUPPLIER</t>
  </si>
  <si>
    <t>المورد</t>
  </si>
  <si>
    <t>FIELD_REFERENCE</t>
  </si>
  <si>
    <t>المرجع</t>
  </si>
  <si>
    <t>MSG_CONFIRM_DELETE</t>
  </si>
  <si>
    <t>هل تريد حذف هذا العنصر؟</t>
  </si>
  <si>
    <t>MSG_SAVE_SUCCESS</t>
  </si>
  <si>
    <t>تم الحفظ بنجاح</t>
  </si>
  <si>
    <t>MSG_DELETE_SUCCESS</t>
  </si>
  <si>
    <t>تم الحذف بنجاح</t>
  </si>
  <si>
    <t>MSG_UPDATE_SUCCESS</t>
  </si>
  <si>
    <t>تم التحديث بنجاح</t>
  </si>
  <si>
    <t>MSG_NO_DATA</t>
  </si>
  <si>
    <t>لا توجد بيانات</t>
  </si>
  <si>
    <t>MSG_SELECT_ITEM</t>
  </si>
  <si>
    <t>الرجاء اختيار عنصر</t>
  </si>
  <si>
    <t>MSG_REQUIRED_FIELD</t>
  </si>
  <si>
    <t>حقل إجباري</t>
  </si>
  <si>
    <t>BTN_NEW</t>
  </si>
  <si>
    <t>جديد</t>
  </si>
  <si>
    <t>BTN_EDIT</t>
  </si>
  <si>
    <t>BTN_DELETE</t>
  </si>
  <si>
    <t>BTN_CLOSE</t>
  </si>
  <si>
    <t>إغلاق</t>
  </si>
  <si>
    <t>BTN_PRINT</t>
  </si>
  <si>
    <t>BTN_EXPORT</t>
  </si>
  <si>
    <t>BTN_CALCULATE_EOQ</t>
  </si>
  <si>
    <t>حساب EOQ</t>
  </si>
  <si>
    <t>BTN_CALCULATE_CMUP</t>
  </si>
  <si>
    <t>حساب CMUP</t>
  </si>
  <si>
    <t>ERR_REQUIRED</t>
  </si>
  <si>
    <t>ERR_NUMBER_ONLY</t>
  </si>
  <si>
    <t>أرقام فقط</t>
  </si>
  <si>
    <t>ERR_DUPLICATE</t>
  </si>
  <si>
    <t>هذا العنصر موجود مسبقاً</t>
  </si>
  <si>
    <t>ERR_NEGATIVE_STOCK</t>
  </si>
  <si>
    <t>لا يمكن أن يكون المخزون سالباً</t>
  </si>
  <si>
    <t>ERR_INSUFFICIENT_STOCK</t>
  </si>
  <si>
    <t>المخزون غير كافٍ</t>
  </si>
  <si>
    <t>UNIT_PIECE</t>
  </si>
  <si>
    <t>قطعة</t>
  </si>
  <si>
    <t>UNIT_BOX</t>
  </si>
  <si>
    <t>علبة</t>
  </si>
  <si>
    <t>UNIT_PACK</t>
  </si>
  <si>
    <t>حزمة</t>
  </si>
  <si>
    <t>UNIT_REAM</t>
  </si>
  <si>
    <t>رزمة</t>
  </si>
  <si>
    <t>UNIT_LITER</t>
  </si>
  <si>
    <t>لتر</t>
  </si>
  <si>
    <t>LABEL_EOQ</t>
  </si>
  <si>
    <t>الكمية الاقتصادية للطلب</t>
  </si>
  <si>
    <t>LABEL_ROP</t>
  </si>
  <si>
    <t>نقطة إعادة الطلب</t>
  </si>
  <si>
    <t>LABEL_SAFETY_STOCK</t>
  </si>
  <si>
    <t>مخزون الأمان</t>
  </si>
  <si>
    <t>LABEL_LEAD_TIME</t>
  </si>
  <si>
    <t>مهلة التوريد</t>
  </si>
  <si>
    <t>LABEL_DAILY_DEMAND</t>
  </si>
  <si>
    <t>الطلب اليومي</t>
  </si>
  <si>
    <t>LABEL_ANNUAL_DEMAND</t>
  </si>
  <si>
    <t>الطلب السنوي</t>
  </si>
  <si>
    <t>ACC_SEC_SAISIE</t>
  </si>
  <si>
    <t>سجل العمليات</t>
  </si>
  <si>
    <t>ACC_SEC_TABLEAU_BORD</t>
  </si>
  <si>
    <t>المؤشرات والتنبيهات</t>
  </si>
  <si>
    <t>ACC_SEC_ANALYSE</t>
  </si>
  <si>
    <t>التحليل والحسابات</t>
  </si>
  <si>
    <t>ACC_SEC_RAPPORTS</t>
  </si>
  <si>
    <t>اعداد الوثائق</t>
  </si>
  <si>
    <t>ACC_SEC_UTILITAIRES</t>
  </si>
  <si>
    <t>ادوات الصيانة</t>
  </si>
  <si>
    <t>ACC_BTN_SAISIE</t>
  </si>
  <si>
    <t>ادخال القيود</t>
  </si>
  <si>
    <t>ACC_BTN_BARCODE</t>
  </si>
  <si>
    <t>مسح الءصناف</t>
  </si>
  <si>
    <t>ACC_BTN_SCANIN</t>
  </si>
  <si>
    <t>ادخال بالرمز</t>
  </si>
  <si>
    <t>ACC_BTN_SCANOUT</t>
  </si>
  <si>
    <t>اخراج بالرمز</t>
  </si>
  <si>
    <t>ACC_BTN_CSV_IMPORT</t>
  </si>
  <si>
    <t>استيراد الحركات</t>
  </si>
  <si>
    <t>ACC_BTN_DASHBOARD</t>
  </si>
  <si>
    <t>تحديث المؤشرات</t>
  </si>
  <si>
    <t>ACC_BTN_HEATMAP</t>
  </si>
  <si>
    <t>تطبيق الخريطة الحرارية</t>
  </si>
  <si>
    <t>ACC_BTN_PDF_EXPORT</t>
  </si>
  <si>
    <t>تصدير لوحة القيادة</t>
  </si>
  <si>
    <t>ACC_BTN_ABC</t>
  </si>
  <si>
    <t>تصنيف ઼</t>
  </si>
  <si>
    <t>ACC_BTN_CMUP</t>
  </si>
  <si>
    <t>RECEIPT TAG</t>
  </si>
  <si>
    <t>DOCUMENT OFFICIEL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</si>
</sst>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\ [$DA]"/>
    <numFmt numFmtId="165" formatCode="#,##0.00\ &quot;DZD&quot;"/>
    <numFmt numFmtId="166" formatCode="0.0%"/>
    <numFmt numFmtId="167" formatCode="dd/mm/yyyy\ hh:mm:ss"/>
    <numFmt numFmtId="168" formatCode="yyyy\-mm\-dd"/>
    <numFmt numFmtId="169" formatCode="hh:mm:ss"/>
  </numFmts>
  <fonts count="76">
    <font>
      <sz val="11"/>
      <color theme="1"/>
      <name val="Arial"/>
      <family val="2"/>
      <charset val="178"/>
      <scheme val="minor"/>
    </font>
    <font>
      <b/>
      <sz val="13"/>
      <color rgb="FFFFFFFF"/>
      <name val="Calibri"/>
      <family val="2"/>
    </font>
    <font>
      <b/>
      <sz val="10"/>
      <color rgb="FFFFFFFF"/>
      <name val="Calibri"/>
      <family val="2"/>
    </font>
    <font>
      <b/>
      <sz val="14"/>
      <color rgb="FF000000"/>
      <name val="Calibri"/>
      <family val="2"/>
    </font>
    <font>
      <i/>
      <sz val="9"/>
      <color rgb="FF000000"/>
      <name val="FreeSans"/>
      <family val="2"/>
    </font>
    <font>
      <b/>
      <sz val="11"/>
      <color rgb="FFFFFFFF"/>
      <name val="FreeSans"/>
      <family val="2"/>
    </font>
    <font>
      <b/>
      <sz val="10"/>
      <color rgb="FF000000"/>
      <name val="FreeSans"/>
      <family val="2"/>
    </font>
    <font>
      <b/>
      <sz val="12"/>
      <color rgb="FF000000"/>
      <name val="Calibri"/>
      <family val="2"/>
    </font>
    <font>
      <b/>
      <sz val="10"/>
      <color rgb="FF000000"/>
      <name val="Courier New"/>
      <family val="3"/>
    </font>
    <font>
      <sz val="9"/>
      <color rgb="FF000000"/>
      <name val="Courier New"/>
      <family val="3"/>
    </font>
    <font>
      <sz val="9"/>
      <color rgb="FF000000"/>
      <name val="FreeSans"/>
      <family val="2"/>
    </font>
    <font>
      <b/>
      <sz val="10"/>
      <color rgb="FF000000"/>
      <name val="Calibri"/>
      <family val="2"/>
    </font>
    <font>
      <sz val="9"/>
      <color rgb="FF000000"/>
      <name val="Calibri"/>
      <family val="2"/>
    </font>
    <font>
      <b/>
      <sz val="9"/>
      <color rgb="FF000000"/>
      <name val="FreeSans"/>
      <family val="2"/>
    </font>
    <font>
      <i/>
      <sz val="9"/>
      <color rgb="FF555555"/>
      <name val="FreeSans"/>
      <family val="2"/>
    </font>
    <font>
      <i/>
      <sz val="8"/>
      <color rgb="FF888888"/>
      <name val="Calibri"/>
      <family val="2"/>
    </font>
    <font>
      <i/>
      <sz val="8"/>
      <color rgb="FFAAAAAA"/>
      <name val="Cambria"/>
      <family val="1"/>
    </font>
    <font>
      <b/>
      <sz val="12"/>
      <color rgb="FFFFFFFF"/>
      <name val="Calibri"/>
      <family val="2"/>
    </font>
    <font>
      <b/>
      <sz val="11"/>
      <color theme="1"/>
      <name val="Calibri"/>
      <family val="2"/>
    </font>
    <font>
      <b/>
      <sz val="8"/>
      <color rgb="FFFFFFFF"/>
      <name val="Calibri"/>
      <family val="2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family val="2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1"/>
      <color rgb="FF000000"/>
      <name val="Calibri"/>
      <family val="2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4"/>
      <color rgb="FF8B0000"/>
      <name val="Calibri"/>
      <family val="2"/>
    </font>
    <font>
      <i/>
      <sz val="9"/>
      <color rgb="FF555555"/>
      <name val="Calibri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family val="2"/>
    </font>
    <font>
      <i/>
      <sz val="9"/>
      <color rgb="FF000000"/>
      <name val="Calibri"/>
      <family val="2"/>
    </font>
    <font>
      <b/>
      <sz val="10"/>
      <color rgb="FF0C447C"/>
      <name val="FreeSans"/>
      <family val="2"/>
    </font>
    <font>
      <b/>
      <sz val="10"/>
      <color rgb="FF1A1A1A"/>
      <name val="FreeSans"/>
      <family val="2"/>
    </font>
    <font>
      <sz val="9"/>
      <color rgb="FF185FA5"/>
      <name val="Courier New"/>
      <family val="3"/>
    </font>
    <font>
      <sz val="9"/>
      <color rgb="FF555555"/>
      <name val="Calibri"/>
      <family val="2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rgb="FFC80000"/>
      <name val="Arial"/>
      <family val="2"/>
      <scheme val="minor"/>
    </font>
    <font>
      <b/>
      <sz val="12"/>
      <color rgb="FFC86400"/>
      <name val="Arial"/>
      <family val="2"/>
      <scheme val="minor"/>
    </font>
    <font>
      <b/>
      <sz val="11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8"/>
      <color rgb="FFFFFFFF"/>
      <name val="Arial"/>
      <family val="2"/>
      <scheme val="minor"/>
    </font>
    <font>
      <sz val="8"/>
      <color theme="1"/>
      <name val="Arial"/>
      <family val="2"/>
      <charset val="178"/>
      <scheme val="minor"/>
    </font>
    <font>
      <i/>
      <sz val="8"/>
      <color theme="1"/>
      <name val="Arial"/>
      <family val="2"/>
      <scheme val="minor"/>
    </font>
    <font>
      <sz val="11"/>
      <color theme="1"/>
      <name val="Calibri"/>
      <family val="2"/>
      <charset val="1"/>
    </font>
    <font>
      <sz val="11"/>
      <name val="Calibri"/>
      <family val="2"/>
      <charset val="1"/>
    </font>
    <font>
      <b/>
      <sz val="9"/>
      <color rgb="FFFFFFFF"/>
      <name val="Calibri"/>
      <family val="2"/>
    </font>
    <font>
      <b/>
      <sz val="10"/>
      <color rgb="FF0C447C"/>
      <name val="Calibri"/>
      <family val="2"/>
    </font>
    <font>
      <b/>
      <sz val="10"/>
      <color rgb="FF1A1A1A"/>
      <name val="Calibri"/>
      <family val="2"/>
    </font>
    <font>
      <i/>
      <sz val="9"/>
      <color rgb="FF444444"/>
      <name val="Calibri"/>
      <family val="2"/>
    </font>
    <font>
      <b/>
      <sz val="14"/>
      <color rgb="FFFFFFFF"/>
      <name val="Calibri"/>
      <family val="2"/>
    </font>
    <font>
      <i/>
      <sz val="9"/>
      <color rgb="FF666666"/>
      <name val="Calibri"/>
      <family val="2"/>
    </font>
    <font>
      <b/>
      <sz val="11"/>
      <color rgb="FFFFFFFF"/>
      <name val="Calibri"/>
      <family val="2"/>
    </font>
    <font>
      <b/>
      <sz val="20"/>
      <color rgb="FF8B0000"/>
      <name val="Cambria"/>
      <family val="1"/>
    </font>
    <font>
      <b/>
      <sz val="20"/>
      <color rgb="FFBF360C"/>
      <name val="Cambria"/>
      <family val="1"/>
    </font>
    <font>
      <b/>
      <sz val="20"/>
      <color rgb="FF7B5800"/>
      <name val="Cambria"/>
      <family val="1"/>
    </font>
    <font>
      <b/>
      <sz val="20"/>
      <color rgb="FF1B5E20"/>
      <name val="Cambria"/>
      <family val="1"/>
    </font>
    <font>
      <b/>
      <sz val="9"/>
      <color rgb="FF000000"/>
      <name val="Calibri"/>
      <family val="2"/>
    </font>
    <font>
      <i/>
      <sz val="8"/>
      <color rgb="FF555555"/>
      <name val="FreeSans"/>
      <family val="2"/>
    </font>
    <font>
      <b/>
      <sz val="9"/>
      <color rgb="FFFFFFFF"/>
      <name val="FreeSans"/>
      <family val="2"/>
    </font>
    <font>
      <i/>
      <sz val="9"/>
      <color rgb="FF444444"/>
      <name val="FreeSans"/>
      <family val="2"/>
    </font>
    <font>
      <sz val="10"/>
      <color rgb="FF000000"/>
      <name val="Calibri"/>
      <family val="2"/>
    </font>
    <font>
      <b/>
      <sz val="10"/>
      <color rgb="FF7B5800"/>
      <name val="Calibri"/>
      <family val="2"/>
    </font>
    <font>
      <b/>
      <sz val="11"/>
      <color rgb="FF000000"/>
      <name val="FreeSans"/>
      <family val="2"/>
    </font>
    <font>
      <b/>
      <sz val="14"/>
      <color rgb="FF000000"/>
      <name val="FreeSans"/>
      <family val="2"/>
    </font>
    <font>
      <i/>
      <sz val="8"/>
      <color rgb="FF888888"/>
      <name val="FreeSans"/>
      <family val="2"/>
    </font>
    <font>
      <b/>
      <sz val="10"/>
      <color rgb="FF7B5800"/>
      <name val="FreeSans"/>
      <family val="2"/>
    </font>
    <font>
      <i/>
      <sz val="8"/>
      <color rgb="FF555555"/>
      <name val="Calibri"/>
      <family val="2"/>
    </font>
    <font>
      <b/>
      <sz val="9"/>
      <color rgb="FF0C447C"/>
      <name val="Courier New"/>
      <family val="3"/>
    </font>
    <font>
      <sz val="9"/>
      <color rgb="FF1A1A1A"/>
      <name val="Calibri"/>
      <family val="2"/>
    </font>
    <font>
      <i/>
      <sz val="9"/>
      <color rgb="FF37474F"/>
      <name val="FreeSans"/>
      <family val="2"/>
    </font>
    <font>
      <sz val="9"/>
      <name val="Courier New"/>
      <family val="3"/>
    </font>
    <font>
      <i/>
      <sz val="9"/>
      <color rgb="FFFFFFFF"/>
      <name val="Calibri"/>
      <family val="2"/>
    </font>
    <font>
      <b/>
      <sz val="14"/>
      <color theme="1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solid">
        <fgColor rgb="FF0C3547"/>
        <bgColor rgb="FF2D3539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2F4858"/>
        <bgColor rgb="FF37474F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DCDCFF"/>
        <bgColor indexed="64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F5F5F5"/>
        <bgColor indexed="64"/>
      </patternFill>
    </fill>
    <fill>
      <patternFill patternType="solid">
        <fgColor rgb="FF00467F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F7F7F5"/>
        <bgColor rgb="FFF5F5F5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3CD"/>
        <bgColor rgb="FFFFF2CC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F5EEF8"/>
        <bgColor rgb="FFF5F5F5"/>
      </patternFill>
    </fill>
    <fill>
      <patternFill patternType="solid">
        <fgColor rgb="FFFFC8C8"/>
        <bgColor indexed="64"/>
      </patternFill>
    </fill>
  </fills>
  <borders count="29">
    <border>
      <left/>
      <right/>
      <top/>
      <bottom/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rgb="FF88888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</borders>
  <cellStyleXfs count="2">
    <xf numFmtId="0" fontId="0" fillId="0" borderId="0"/>
    <xf numFmtId="0" fontId="46" fillId="0" borderId="0"/>
  </cellStyleXfs>
  <cellXfs count="295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left" vertical="center"/>
    </xf>
    <xf numFmtId="0" fontId="9" fillId="5" borderId="5" xfId="0" applyFont="1" applyFill="1" applyBorder="1" applyAlignment="1">
      <alignment horizontal="left" vertical="center"/>
    </xf>
    <xf numFmtId="0" fontId="4" fillId="5" borderId="5" xfId="0" applyFont="1" applyFill="1" applyBorder="1" applyAlignment="1">
      <alignment horizontal="right" vertical="center"/>
    </xf>
    <xf numFmtId="0" fontId="10" fillId="5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 wrapText="1"/>
    </xf>
    <xf numFmtId="0" fontId="11" fillId="5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left" vertical="center"/>
    </xf>
    <xf numFmtId="0" fontId="12" fillId="5" borderId="5" xfId="0" applyFont="1" applyFill="1" applyBorder="1" applyAlignment="1">
      <alignment horizontal="left" vertical="center"/>
    </xf>
    <xf numFmtId="0" fontId="4" fillId="5" borderId="5" xfId="0" applyFont="1" applyFill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16" fillId="0" borderId="0" xfId="0" applyFont="1"/>
    <xf numFmtId="0" fontId="19" fillId="12" borderId="1" xfId="0" applyFont="1" applyFill="1" applyBorder="1" applyAlignment="1">
      <alignment horizontal="center" vertical="center" wrapText="1" readingOrder="2"/>
    </xf>
    <xf numFmtId="0" fontId="19" fillId="13" borderId="1" xfId="0" applyFont="1" applyFill="1" applyBorder="1" applyAlignment="1">
      <alignment horizontal="center" vertical="center" wrapText="1" readingOrder="2"/>
    </xf>
    <xf numFmtId="0" fontId="19" fillId="14" borderId="1" xfId="0" applyFont="1" applyFill="1" applyBorder="1" applyAlignment="1">
      <alignment horizontal="center" vertical="center" wrapText="1" readingOrder="2"/>
    </xf>
    <xf numFmtId="0" fontId="19" fillId="15" borderId="1" xfId="0" applyFont="1" applyFill="1" applyBorder="1" applyAlignment="1">
      <alignment horizontal="center" vertical="center" wrapText="1" readingOrder="2"/>
    </xf>
    <xf numFmtId="0" fontId="19" fillId="16" borderId="1" xfId="0" applyFont="1" applyFill="1" applyBorder="1" applyAlignment="1">
      <alignment horizontal="center" vertical="center" wrapText="1" readingOrder="2"/>
    </xf>
    <xf numFmtId="0" fontId="19" fillId="17" borderId="1" xfId="0" applyFont="1" applyFill="1" applyBorder="1" applyAlignment="1">
      <alignment horizontal="center" vertical="center" wrapText="1" readingOrder="2"/>
    </xf>
    <xf numFmtId="0" fontId="19" fillId="18" borderId="1" xfId="0" applyFont="1" applyFill="1" applyBorder="1" applyAlignment="1">
      <alignment horizontal="center" vertical="center" wrapText="1" readingOrder="2"/>
    </xf>
    <xf numFmtId="0" fontId="19" fillId="19" borderId="1" xfId="0" applyFont="1" applyFill="1" applyBorder="1" applyAlignment="1">
      <alignment horizontal="center" vertical="center" wrapText="1" readingOrder="2"/>
    </xf>
    <xf numFmtId="0" fontId="19" fillId="20" borderId="1" xfId="0" applyFont="1" applyFill="1" applyBorder="1" applyAlignment="1">
      <alignment horizontal="center" vertical="center" wrapText="1" readingOrder="2"/>
    </xf>
    <xf numFmtId="0" fontId="19" fillId="21" borderId="1" xfId="0" applyFont="1" applyFill="1" applyBorder="1" applyAlignment="1">
      <alignment horizontal="center" vertical="center" wrapText="1" readingOrder="2"/>
    </xf>
    <xf numFmtId="14" fontId="0" fillId="0" borderId="0" xfId="0" applyNumberFormat="1"/>
    <xf numFmtId="0" fontId="22" fillId="23" borderId="13" xfId="0" applyFont="1" applyFill="1" applyBorder="1" applyAlignment="1">
      <alignment horizontal="right" vertical="center"/>
    </xf>
    <xf numFmtId="0" fontId="23" fillId="0" borderId="13" xfId="0" applyFont="1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6" fillId="24" borderId="13" xfId="0" applyFont="1" applyFill="1" applyBorder="1" applyAlignment="1">
      <alignment horizontal="right" vertical="center"/>
    </xf>
    <xf numFmtId="164" fontId="25" fillId="25" borderId="13" xfId="0" applyNumberFormat="1" applyFont="1" applyFill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26" borderId="13" xfId="0" applyFont="1" applyFill="1" applyBorder="1" applyAlignment="1">
      <alignment horizontal="right" vertical="center"/>
    </xf>
    <xf numFmtId="0" fontId="28" fillId="27" borderId="13" xfId="0" applyFont="1" applyFill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30" fillId="28" borderId="13" xfId="0" applyFont="1" applyFill="1" applyBorder="1" applyAlignment="1">
      <alignment horizontal="right" vertical="center"/>
    </xf>
    <xf numFmtId="0" fontId="31" fillId="29" borderId="13" xfId="0" applyFont="1" applyFill="1" applyBorder="1" applyAlignment="1">
      <alignment horizontal="center" vertical="center"/>
    </xf>
    <xf numFmtId="0" fontId="6" fillId="28" borderId="13" xfId="0" applyFont="1" applyFill="1" applyBorder="1" applyAlignment="1">
      <alignment horizontal="right" vertical="center"/>
    </xf>
    <xf numFmtId="0" fontId="3" fillId="30" borderId="13" xfId="0" applyFont="1" applyFill="1" applyBorder="1" applyAlignment="1">
      <alignment horizontal="center" vertical="center"/>
    </xf>
    <xf numFmtId="0" fontId="11" fillId="24" borderId="13" xfId="0" applyFont="1" applyFill="1" applyBorder="1" applyAlignment="1">
      <alignment horizontal="left" vertical="center"/>
    </xf>
    <xf numFmtId="0" fontId="11" fillId="24" borderId="5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35" fillId="0" borderId="0" xfId="0" applyFont="1"/>
    <xf numFmtId="0" fontId="36" fillId="0" borderId="0" xfId="0" applyFont="1"/>
    <xf numFmtId="0" fontId="14" fillId="0" borderId="0" xfId="0" applyFont="1"/>
    <xf numFmtId="0" fontId="0" fillId="31" borderId="0" xfId="0" applyFill="1"/>
    <xf numFmtId="0" fontId="37" fillId="31" borderId="0" xfId="0" applyFont="1" applyFill="1" applyAlignment="1">
      <alignment horizontal="right"/>
    </xf>
    <xf numFmtId="0" fontId="38" fillId="31" borderId="0" xfId="0" applyFont="1" applyFill="1" applyAlignment="1">
      <alignment horizontal="left"/>
    </xf>
    <xf numFmtId="0" fontId="39" fillId="31" borderId="0" xfId="0" applyFont="1" applyFill="1" applyAlignment="1">
      <alignment horizontal="left"/>
    </xf>
    <xf numFmtId="0" fontId="40" fillId="31" borderId="0" xfId="0" applyFont="1" applyFill="1" applyAlignment="1">
      <alignment horizontal="left"/>
    </xf>
    <xf numFmtId="165" fontId="38" fillId="31" borderId="0" xfId="0" applyNumberFormat="1" applyFont="1" applyFill="1" applyAlignment="1">
      <alignment horizontal="left"/>
    </xf>
    <xf numFmtId="0" fontId="41" fillId="32" borderId="0" xfId="0" applyFont="1" applyFill="1"/>
    <xf numFmtId="0" fontId="41" fillId="32" borderId="0" xfId="0" applyFont="1" applyFill="1" applyAlignment="1">
      <alignment horizontal="center"/>
    </xf>
    <xf numFmtId="0" fontId="0" fillId="31" borderId="5" xfId="0" applyFill="1" applyBorder="1"/>
    <xf numFmtId="0" fontId="43" fillId="32" borderId="0" xfId="0" applyFont="1" applyFill="1" applyAlignment="1">
      <alignment horizontal="center"/>
    </xf>
    <xf numFmtId="0" fontId="44" fillId="31" borderId="5" xfId="0" applyFont="1" applyFill="1" applyBorder="1"/>
    <xf numFmtId="0" fontId="44" fillId="33" borderId="5" xfId="0" applyFont="1" applyFill="1" applyBorder="1"/>
    <xf numFmtId="0" fontId="45" fillId="31" borderId="0" xfId="0" applyFont="1" applyFill="1"/>
    <xf numFmtId="0" fontId="37" fillId="0" borderId="0" xfId="0" applyFont="1"/>
    <xf numFmtId="0" fontId="46" fillId="0" borderId="0" xfId="1"/>
    <xf numFmtId="0" fontId="47" fillId="0" borderId="0" xfId="1" applyFont="1"/>
    <xf numFmtId="0" fontId="48" fillId="12" borderId="1" xfId="1" applyFont="1" applyFill="1" applyBorder="1" applyAlignment="1">
      <alignment horizontal="center" vertical="center" readingOrder="2"/>
    </xf>
    <xf numFmtId="0" fontId="48" fillId="13" borderId="1" xfId="1" applyFont="1" applyFill="1" applyBorder="1" applyAlignment="1">
      <alignment horizontal="center" vertical="center" readingOrder="2"/>
    </xf>
    <xf numFmtId="0" fontId="48" fillId="34" borderId="1" xfId="1" applyFont="1" applyFill="1" applyBorder="1" applyAlignment="1">
      <alignment horizontal="center" vertical="center" readingOrder="2"/>
    </xf>
    <xf numFmtId="0" fontId="48" fillId="35" borderId="1" xfId="1" applyFont="1" applyFill="1" applyBorder="1" applyAlignment="1">
      <alignment horizontal="center" vertical="center" readingOrder="2"/>
    </xf>
    <xf numFmtId="0" fontId="48" fillId="21" borderId="1" xfId="1" applyFont="1" applyFill="1" applyBorder="1" applyAlignment="1">
      <alignment horizontal="center" vertical="center" readingOrder="2"/>
    </xf>
    <xf numFmtId="0" fontId="48" fillId="15" borderId="1" xfId="1" applyFont="1" applyFill="1" applyBorder="1" applyAlignment="1">
      <alignment horizontal="center" vertical="center" readingOrder="2"/>
    </xf>
    <xf numFmtId="0" fontId="48" fillId="36" borderId="1" xfId="1" applyFont="1" applyFill="1" applyBorder="1" applyAlignment="1">
      <alignment horizontal="center" vertical="center" readingOrder="2"/>
    </xf>
    <xf numFmtId="0" fontId="2" fillId="3" borderId="1" xfId="1" applyFont="1" applyFill="1" applyBorder="1" applyAlignment="1">
      <alignment horizontal="center" vertical="center" wrapText="1"/>
    </xf>
    <xf numFmtId="0" fontId="2" fillId="6" borderId="1" xfId="1" applyFont="1" applyFill="1" applyBorder="1" applyAlignment="1">
      <alignment horizontal="center" vertical="center" wrapText="1"/>
    </xf>
    <xf numFmtId="0" fontId="25" fillId="0" borderId="13" xfId="1" applyFont="1" applyBorder="1" applyAlignment="1">
      <alignment horizontal="center" vertical="center"/>
    </xf>
    <xf numFmtId="0" fontId="46" fillId="0" borderId="13" xfId="1" applyBorder="1" applyAlignment="1">
      <alignment horizontal="left" vertical="center"/>
    </xf>
    <xf numFmtId="0" fontId="46" fillId="0" borderId="13" xfId="1" applyBorder="1" applyAlignment="1">
      <alignment horizontal="center" vertical="center"/>
    </xf>
    <xf numFmtId="3" fontId="46" fillId="37" borderId="13" xfId="1" applyNumberFormat="1" applyFill="1" applyBorder="1" applyAlignment="1">
      <alignment horizontal="center" vertical="center" readingOrder="2"/>
    </xf>
    <xf numFmtId="3" fontId="46" fillId="38" borderId="13" xfId="1" applyNumberFormat="1" applyFill="1" applyBorder="1" applyAlignment="1">
      <alignment horizontal="center" vertical="center" readingOrder="2"/>
    </xf>
    <xf numFmtId="3" fontId="49" fillId="39" borderId="13" xfId="1" applyNumberFormat="1" applyFont="1" applyFill="1" applyBorder="1" applyAlignment="1">
      <alignment horizontal="center" vertical="center" readingOrder="2"/>
    </xf>
    <xf numFmtId="3" fontId="46" fillId="0" borderId="13" xfId="1" applyNumberFormat="1" applyBorder="1" applyAlignment="1">
      <alignment horizontal="center" vertical="center"/>
    </xf>
    <xf numFmtId="4" fontId="46" fillId="25" borderId="13" xfId="1" applyNumberFormat="1" applyFill="1" applyBorder="1" applyAlignment="1">
      <alignment horizontal="center" vertical="center"/>
    </xf>
    <xf numFmtId="164" fontId="46" fillId="0" borderId="13" xfId="1" applyNumberFormat="1" applyBorder="1" applyAlignment="1">
      <alignment horizontal="center" vertical="center"/>
    </xf>
    <xf numFmtId="3" fontId="25" fillId="24" borderId="13" xfId="1" applyNumberFormat="1" applyFont="1" applyFill="1" applyBorder="1" applyAlignment="1">
      <alignment horizontal="center" vertical="center"/>
    </xf>
    <xf numFmtId="0" fontId="50" fillId="0" borderId="13" xfId="1" applyFont="1" applyBorder="1" applyAlignment="1">
      <alignment horizontal="center" vertical="center" readingOrder="2"/>
    </xf>
    <xf numFmtId="0" fontId="46" fillId="0" borderId="13" xfId="1" applyBorder="1"/>
    <xf numFmtId="0" fontId="32" fillId="24" borderId="13" xfId="1" applyFont="1" applyFill="1" applyBorder="1" applyAlignment="1">
      <alignment horizontal="right" vertical="center"/>
    </xf>
    <xf numFmtId="0" fontId="25" fillId="25" borderId="13" xfId="1" applyFont="1" applyFill="1" applyBorder="1" applyAlignment="1">
      <alignment horizontal="center" vertical="center"/>
    </xf>
    <xf numFmtId="0" fontId="2" fillId="24" borderId="15" xfId="1" applyFont="1" applyFill="1" applyBorder="1" applyAlignment="1">
      <alignment horizontal="center" vertical="center"/>
    </xf>
    <xf numFmtId="0" fontId="46" fillId="24" borderId="13" xfId="1" applyFill="1" applyBorder="1"/>
    <xf numFmtId="164" fontId="25" fillId="24" borderId="13" xfId="1" applyNumberFormat="1" applyFont="1" applyFill="1" applyBorder="1" applyAlignment="1">
      <alignment horizontal="center" vertical="center"/>
    </xf>
    <xf numFmtId="0" fontId="51" fillId="40" borderId="0" xfId="1" applyFont="1" applyFill="1" applyAlignment="1">
      <alignment horizontal="center" vertical="center"/>
    </xf>
    <xf numFmtId="0" fontId="52" fillId="41" borderId="0" xfId="1" applyFont="1" applyFill="1" applyAlignment="1">
      <alignment horizontal="center" vertical="center"/>
    </xf>
    <xf numFmtId="0" fontId="21" fillId="42" borderId="0" xfId="1" applyFont="1" applyFill="1" applyAlignment="1">
      <alignment horizontal="center" vertical="center"/>
    </xf>
    <xf numFmtId="0" fontId="53" fillId="40" borderId="0" xfId="1" applyFont="1" applyFill="1" applyAlignment="1">
      <alignment horizontal="center" vertical="center"/>
    </xf>
    <xf numFmtId="0" fontId="54" fillId="41" borderId="0" xfId="1" applyFont="1" applyFill="1" applyAlignment="1">
      <alignment horizontal="center" vertical="center"/>
    </xf>
    <xf numFmtId="0" fontId="2" fillId="41" borderId="16" xfId="1" applyFont="1" applyFill="1" applyBorder="1" applyAlignment="1">
      <alignment horizontal="center" vertical="center"/>
    </xf>
    <xf numFmtId="0" fontId="2" fillId="43" borderId="16" xfId="1" applyFont="1" applyFill="1" applyBorder="1" applyAlignment="1">
      <alignment horizontal="center" vertical="center"/>
    </xf>
    <xf numFmtId="0" fontId="2" fillId="44" borderId="16" xfId="1" applyFont="1" applyFill="1" applyBorder="1" applyAlignment="1">
      <alignment horizontal="center" vertical="center"/>
    </xf>
    <xf numFmtId="0" fontId="2" fillId="2" borderId="16" xfId="1" applyFont="1" applyFill="1" applyBorder="1" applyAlignment="1">
      <alignment horizontal="center" vertical="center"/>
    </xf>
    <xf numFmtId="0" fontId="55" fillId="26" borderId="16" xfId="1" applyFont="1" applyFill="1" applyBorder="1" applyAlignment="1">
      <alignment horizontal="center" vertical="center" readingOrder="2"/>
    </xf>
    <xf numFmtId="0" fontId="56" fillId="45" borderId="16" xfId="1" applyFont="1" applyFill="1" applyBorder="1" applyAlignment="1">
      <alignment horizontal="center" vertical="center" readingOrder="2"/>
    </xf>
    <xf numFmtId="0" fontId="57" fillId="46" borderId="16" xfId="1" applyFont="1" applyFill="1" applyBorder="1" applyAlignment="1">
      <alignment horizontal="center" vertical="center" readingOrder="2"/>
    </xf>
    <xf numFmtId="0" fontId="58" fillId="23" borderId="16" xfId="1" applyFont="1" applyFill="1" applyBorder="1" applyAlignment="1">
      <alignment horizontal="center" vertical="center" readingOrder="2"/>
    </xf>
    <xf numFmtId="0" fontId="32" fillId="40" borderId="13" xfId="1" applyFont="1" applyFill="1" applyBorder="1" applyAlignment="1">
      <alignment horizontal="center" vertical="center"/>
    </xf>
    <xf numFmtId="0" fontId="2" fillId="41" borderId="16" xfId="1" applyFont="1" applyFill="1" applyBorder="1" applyAlignment="1">
      <alignment horizontal="center" vertical="center" wrapText="1"/>
    </xf>
    <xf numFmtId="0" fontId="46" fillId="4" borderId="13" xfId="1" applyFill="1" applyBorder="1" applyAlignment="1">
      <alignment horizontal="left" vertical="center"/>
    </xf>
    <xf numFmtId="0" fontId="46" fillId="4" borderId="13" xfId="1" applyFill="1" applyBorder="1" applyAlignment="1">
      <alignment horizontal="center" vertical="center"/>
    </xf>
    <xf numFmtId="3" fontId="25" fillId="0" borderId="13" xfId="1" applyNumberFormat="1" applyFont="1" applyBorder="1" applyAlignment="1">
      <alignment horizontal="center" vertical="center"/>
    </xf>
    <xf numFmtId="3" fontId="46" fillId="4" borderId="13" xfId="1" applyNumberFormat="1" applyFill="1" applyBorder="1" applyAlignment="1">
      <alignment horizontal="center" vertical="center"/>
    </xf>
    <xf numFmtId="4" fontId="46" fillId="4" borderId="13" xfId="1" applyNumberFormat="1" applyFill="1" applyBorder="1" applyAlignment="1">
      <alignment horizontal="center" vertical="center"/>
    </xf>
    <xf numFmtId="164" fontId="46" fillId="4" borderId="13" xfId="1" applyNumberFormat="1" applyFill="1" applyBorder="1" applyAlignment="1">
      <alignment horizontal="center" vertical="center"/>
    </xf>
    <xf numFmtId="0" fontId="59" fillId="0" borderId="13" xfId="1" applyFont="1" applyBorder="1" applyAlignment="1">
      <alignment horizontal="center" vertical="center"/>
    </xf>
    <xf numFmtId="0" fontId="32" fillId="0" borderId="13" xfId="1" applyFont="1" applyBorder="1" applyAlignment="1">
      <alignment horizontal="left" vertical="center" wrapText="1"/>
    </xf>
    <xf numFmtId="0" fontId="46" fillId="40" borderId="13" xfId="1" applyFill="1" applyBorder="1" applyAlignment="1">
      <alignment horizontal="left" vertical="center"/>
    </xf>
    <xf numFmtId="0" fontId="46" fillId="40" borderId="13" xfId="1" applyFill="1" applyBorder="1" applyAlignment="1">
      <alignment horizontal="center" vertical="center"/>
    </xf>
    <xf numFmtId="3" fontId="46" fillId="40" borderId="13" xfId="1" applyNumberFormat="1" applyFill="1" applyBorder="1" applyAlignment="1">
      <alignment horizontal="center" vertical="center"/>
    </xf>
    <xf numFmtId="4" fontId="46" fillId="40" borderId="13" xfId="1" applyNumberFormat="1" applyFill="1" applyBorder="1" applyAlignment="1">
      <alignment horizontal="center" vertical="center"/>
    </xf>
    <xf numFmtId="164" fontId="46" fillId="40" borderId="13" xfId="1" applyNumberFormat="1" applyFill="1" applyBorder="1" applyAlignment="1">
      <alignment horizontal="center" vertical="center"/>
    </xf>
    <xf numFmtId="0" fontId="32" fillId="24" borderId="0" xfId="1" applyFont="1" applyFill="1" applyAlignment="1">
      <alignment horizontal="center" vertical="center"/>
    </xf>
    <xf numFmtId="0" fontId="2" fillId="43" borderId="1" xfId="1" applyFont="1" applyFill="1" applyBorder="1" applyAlignment="1">
      <alignment horizontal="center" vertical="center" wrapText="1"/>
    </xf>
    <xf numFmtId="0" fontId="25" fillId="4" borderId="13" xfId="1" applyFont="1" applyFill="1" applyBorder="1" applyAlignment="1">
      <alignment horizontal="center" vertical="center"/>
    </xf>
    <xf numFmtId="166" fontId="46" fillId="4" borderId="13" xfId="1" applyNumberFormat="1" applyFill="1" applyBorder="1" applyAlignment="1">
      <alignment horizontal="center" vertical="center"/>
    </xf>
    <xf numFmtId="0" fontId="25" fillId="40" borderId="13" xfId="1" applyFont="1" applyFill="1" applyBorder="1" applyAlignment="1">
      <alignment horizontal="center" vertical="center"/>
    </xf>
    <xf numFmtId="166" fontId="46" fillId="40" borderId="13" xfId="1" applyNumberFormat="1" applyFill="1" applyBorder="1" applyAlignment="1">
      <alignment horizontal="center" vertical="center"/>
    </xf>
    <xf numFmtId="0" fontId="3" fillId="4" borderId="2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5" fillId="2" borderId="8" xfId="1" applyFont="1" applyFill="1" applyBorder="1" applyAlignment="1">
      <alignment horizontal="left" vertical="center"/>
    </xf>
    <xf numFmtId="0" fontId="6" fillId="5" borderId="5" xfId="1" applyFont="1" applyFill="1" applyBorder="1" applyAlignment="1">
      <alignment horizontal="right" vertical="center"/>
    </xf>
    <xf numFmtId="14" fontId="50" fillId="47" borderId="2" xfId="1" applyNumberFormat="1" applyFont="1" applyFill="1" applyBorder="1" applyAlignment="1">
      <alignment horizontal="center" vertical="center" readingOrder="2"/>
    </xf>
    <xf numFmtId="0" fontId="6" fillId="5" borderId="5" xfId="1" applyFont="1" applyFill="1" applyBorder="1" applyAlignment="1">
      <alignment horizontal="center" vertical="center"/>
    </xf>
    <xf numFmtId="0" fontId="60" fillId="0" borderId="0" xfId="1" applyFont="1" applyAlignment="1">
      <alignment horizontal="left" vertical="center"/>
    </xf>
    <xf numFmtId="0" fontId="61" fillId="3" borderId="8" xfId="1" applyFont="1" applyFill="1" applyBorder="1" applyAlignment="1">
      <alignment horizontal="center" vertical="center" wrapText="1"/>
    </xf>
    <xf numFmtId="0" fontId="59" fillId="5" borderId="5" xfId="1" applyFont="1" applyFill="1" applyBorder="1" applyAlignment="1">
      <alignment horizontal="center" vertical="center"/>
    </xf>
    <xf numFmtId="0" fontId="12" fillId="5" borderId="5" xfId="1" applyFont="1" applyFill="1" applyBorder="1" applyAlignment="1">
      <alignment horizontal="left" vertical="center"/>
    </xf>
    <xf numFmtId="0" fontId="12" fillId="5" borderId="5" xfId="1" applyFont="1" applyFill="1" applyBorder="1" applyAlignment="1">
      <alignment horizontal="center" vertical="center"/>
    </xf>
    <xf numFmtId="3" fontId="46" fillId="5" borderId="5" xfId="1" applyNumberFormat="1" applyFill="1" applyBorder="1" applyAlignment="1">
      <alignment horizontal="center" vertical="center"/>
    </xf>
    <xf numFmtId="3" fontId="11" fillId="5" borderId="5" xfId="1" applyNumberFormat="1" applyFont="1" applyFill="1" applyBorder="1" applyAlignment="1">
      <alignment horizontal="center" vertical="center"/>
    </xf>
    <xf numFmtId="0" fontId="59" fillId="4" borderId="5" xfId="1" applyFont="1" applyFill="1" applyBorder="1" applyAlignment="1">
      <alignment horizontal="center" vertical="center"/>
    </xf>
    <xf numFmtId="0" fontId="12" fillId="4" borderId="5" xfId="1" applyFont="1" applyFill="1" applyBorder="1" applyAlignment="1">
      <alignment horizontal="left" vertical="center"/>
    </xf>
    <xf numFmtId="0" fontId="12" fillId="4" borderId="5" xfId="1" applyFont="1" applyFill="1" applyBorder="1" applyAlignment="1">
      <alignment horizontal="center" vertical="center"/>
    </xf>
    <xf numFmtId="3" fontId="46" fillId="4" borderId="5" xfId="1" applyNumberFormat="1" applyFill="1" applyBorder="1" applyAlignment="1">
      <alignment horizontal="center" vertical="center"/>
    </xf>
    <xf numFmtId="3" fontId="11" fillId="4" borderId="5" xfId="1" applyNumberFormat="1" applyFont="1" applyFill="1" applyBorder="1" applyAlignment="1">
      <alignment horizontal="center" vertical="center"/>
    </xf>
    <xf numFmtId="0" fontId="11" fillId="5" borderId="8" xfId="1" applyFont="1" applyFill="1" applyBorder="1" applyAlignment="1">
      <alignment horizontal="center" vertical="center"/>
    </xf>
    <xf numFmtId="3" fontId="11" fillId="5" borderId="8" xfId="1" applyNumberFormat="1" applyFont="1" applyFill="1" applyBorder="1" applyAlignment="1">
      <alignment horizontal="center" vertical="center"/>
    </xf>
    <xf numFmtId="0" fontId="46" fillId="5" borderId="8" xfId="1" applyFill="1" applyBorder="1"/>
    <xf numFmtId="0" fontId="62" fillId="0" borderId="11" xfId="1" applyFont="1" applyBorder="1" applyAlignment="1">
      <alignment horizontal="left" vertical="center" wrapText="1"/>
    </xf>
    <xf numFmtId="14" fontId="46" fillId="47" borderId="2" xfId="1" applyNumberFormat="1" applyFill="1" applyBorder="1" applyAlignment="1">
      <alignment horizontal="center" vertical="center" readingOrder="2"/>
    </xf>
    <xf numFmtId="14" fontId="46" fillId="0" borderId="2" xfId="1" applyNumberFormat="1" applyBorder="1" applyAlignment="1">
      <alignment horizontal="center" vertical="center"/>
    </xf>
    <xf numFmtId="0" fontId="15" fillId="4" borderId="5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63" fillId="0" borderId="13" xfId="1" applyFont="1" applyBorder="1" applyAlignment="1">
      <alignment horizontal="left" vertical="center"/>
    </xf>
    <xf numFmtId="3" fontId="7" fillId="25" borderId="13" xfId="1" applyNumberFormat="1" applyFont="1" applyFill="1" applyBorder="1" applyAlignment="1">
      <alignment horizontal="center" vertical="center"/>
    </xf>
    <xf numFmtId="4" fontId="7" fillId="25" borderId="13" xfId="1" applyNumberFormat="1" applyFont="1" applyFill="1" applyBorder="1" applyAlignment="1">
      <alignment horizontal="center" vertical="center"/>
    </xf>
    <xf numFmtId="0" fontId="17" fillId="2" borderId="13" xfId="1" applyFont="1" applyFill="1" applyBorder="1" applyAlignment="1">
      <alignment horizontal="center" vertical="center"/>
    </xf>
    <xf numFmtId="3" fontId="7" fillId="48" borderId="13" xfId="1" applyNumberFormat="1" applyFont="1" applyFill="1" applyBorder="1" applyAlignment="1">
      <alignment horizontal="center" vertical="center"/>
    </xf>
    <xf numFmtId="0" fontId="48" fillId="49" borderId="1" xfId="1" applyFont="1" applyFill="1" applyBorder="1" applyAlignment="1">
      <alignment horizontal="center" vertical="center" readingOrder="2"/>
    </xf>
    <xf numFmtId="0" fontId="48" fillId="50" borderId="0" xfId="1" applyFont="1" applyFill="1" applyAlignment="1">
      <alignment horizontal="center" vertical="center" readingOrder="2"/>
    </xf>
    <xf numFmtId="0" fontId="46" fillId="23" borderId="13" xfId="1" applyFill="1" applyBorder="1" applyAlignment="1">
      <alignment horizontal="center" vertical="center"/>
    </xf>
    <xf numFmtId="0" fontId="64" fillId="51" borderId="0" xfId="1" applyFont="1" applyFill="1" applyAlignment="1">
      <alignment horizontal="center" vertical="center" readingOrder="2"/>
    </xf>
    <xf numFmtId="3" fontId="46" fillId="23" borderId="13" xfId="1" applyNumberFormat="1" applyFill="1" applyBorder="1" applyAlignment="1">
      <alignment horizontal="center" vertical="center"/>
    </xf>
    <xf numFmtId="0" fontId="46" fillId="28" borderId="13" xfId="1" applyFill="1" applyBorder="1" applyAlignment="1">
      <alignment horizontal="center" vertical="center"/>
    </xf>
    <xf numFmtId="3" fontId="46" fillId="28" borderId="13" xfId="1" applyNumberFormat="1" applyFill="1" applyBorder="1" applyAlignment="1">
      <alignment horizontal="center" vertical="center"/>
    </xf>
    <xf numFmtId="0" fontId="59" fillId="5" borderId="8" xfId="1" applyFont="1" applyFill="1" applyBorder="1" applyAlignment="1">
      <alignment horizontal="center" vertical="center" wrapText="1"/>
    </xf>
    <xf numFmtId="0" fontId="32" fillId="4" borderId="5" xfId="1" applyFont="1" applyFill="1" applyBorder="1" applyAlignment="1">
      <alignment horizontal="center" vertical="center"/>
    </xf>
    <xf numFmtId="0" fontId="11" fillId="4" borderId="8" xfId="1" applyFont="1" applyFill="1" applyBorder="1" applyAlignment="1">
      <alignment horizontal="center" vertical="center"/>
    </xf>
    <xf numFmtId="0" fontId="46" fillId="4" borderId="5" xfId="1" applyFill="1" applyBorder="1" applyAlignment="1">
      <alignment horizontal="left" vertical="center"/>
    </xf>
    <xf numFmtId="0" fontId="46" fillId="4" borderId="5" xfId="1" applyFill="1" applyBorder="1" applyAlignment="1">
      <alignment horizontal="center" vertical="center"/>
    </xf>
    <xf numFmtId="3" fontId="46" fillId="4" borderId="8" xfId="1" applyNumberFormat="1" applyFill="1" applyBorder="1" applyAlignment="1">
      <alignment horizontal="center" vertical="center"/>
    </xf>
    <xf numFmtId="3" fontId="25" fillId="4" borderId="8" xfId="1" applyNumberFormat="1" applyFont="1" applyFill="1" applyBorder="1" applyAlignment="1">
      <alignment horizontal="center" vertical="center"/>
    </xf>
    <xf numFmtId="3" fontId="46" fillId="4" borderId="2" xfId="1" applyNumberForma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left" vertical="center" wrapText="1"/>
    </xf>
    <xf numFmtId="0" fontId="11" fillId="4" borderId="13" xfId="1" applyFont="1" applyFill="1" applyBorder="1" applyAlignment="1">
      <alignment horizontal="center" vertical="center"/>
    </xf>
    <xf numFmtId="0" fontId="63" fillId="4" borderId="13" xfId="1" applyFont="1" applyFill="1" applyBorder="1" applyAlignment="1">
      <alignment horizontal="left" vertical="center" wrapText="1"/>
    </xf>
    <xf numFmtId="0" fontId="63" fillId="40" borderId="13" xfId="1" applyFont="1" applyFill="1" applyBorder="1" applyAlignment="1">
      <alignment horizontal="left" vertical="center" wrapText="1"/>
    </xf>
    <xf numFmtId="0" fontId="2" fillId="23" borderId="13" xfId="1" applyFont="1" applyFill="1" applyBorder="1" applyAlignment="1">
      <alignment horizontal="center" vertical="center"/>
    </xf>
    <xf numFmtId="0" fontId="2" fillId="4" borderId="13" xfId="1" applyFont="1" applyFill="1" applyBorder="1" applyAlignment="1">
      <alignment horizontal="left" vertical="center" wrapText="1"/>
    </xf>
    <xf numFmtId="0" fontId="2" fillId="40" borderId="13" xfId="1" applyFont="1" applyFill="1" applyBorder="1" applyAlignment="1">
      <alignment horizontal="left" vertical="center" wrapText="1"/>
    </xf>
    <xf numFmtId="0" fontId="33" fillId="0" borderId="0" xfId="1" applyFont="1"/>
    <xf numFmtId="0" fontId="70" fillId="0" borderId="0" xfId="1" applyFont="1"/>
    <xf numFmtId="0" fontId="71" fillId="0" borderId="0" xfId="1" applyFont="1"/>
    <xf numFmtId="0" fontId="72" fillId="0" borderId="0" xfId="1" applyFont="1"/>
    <xf numFmtId="0" fontId="16" fillId="0" borderId="0" xfId="1" applyFont="1"/>
    <xf numFmtId="0" fontId="11" fillId="24" borderId="13" xfId="1" applyFont="1" applyFill="1" applyBorder="1" applyAlignment="1">
      <alignment horizontal="left" vertical="center" wrapText="1"/>
    </xf>
    <xf numFmtId="0" fontId="73" fillId="40" borderId="13" xfId="1" applyFont="1" applyFill="1" applyBorder="1" applyAlignment="1">
      <alignment horizontal="left" vertical="center" wrapText="1"/>
    </xf>
    <xf numFmtId="0" fontId="11" fillId="24" borderId="5" xfId="1" applyFont="1" applyFill="1" applyBorder="1" applyAlignment="1">
      <alignment horizontal="left" vertical="center" wrapText="1"/>
    </xf>
    <xf numFmtId="0" fontId="73" fillId="40" borderId="5" xfId="1" applyFont="1" applyFill="1" applyBorder="1" applyAlignment="1">
      <alignment horizontal="left" vertical="center" wrapText="1"/>
    </xf>
    <xf numFmtId="0" fontId="2" fillId="52" borderId="16" xfId="1" applyFont="1" applyFill="1" applyBorder="1" applyAlignment="1">
      <alignment horizontal="center" vertical="center" wrapText="1"/>
    </xf>
    <xf numFmtId="167" fontId="12" fillId="54" borderId="13" xfId="1" applyNumberFormat="1" applyFont="1" applyFill="1" applyBorder="1" applyAlignment="1">
      <alignment horizontal="left" vertical="center"/>
    </xf>
    <xf numFmtId="0" fontId="12" fillId="54" borderId="13" xfId="1" applyFont="1" applyFill="1" applyBorder="1" applyAlignment="1">
      <alignment horizontal="left" vertical="center"/>
    </xf>
    <xf numFmtId="0" fontId="32" fillId="54" borderId="13" xfId="1" applyFont="1" applyFill="1" applyBorder="1" applyAlignment="1">
      <alignment horizontal="left" vertical="center"/>
    </xf>
    <xf numFmtId="167" fontId="12" fillId="4" borderId="13" xfId="1" applyNumberFormat="1" applyFont="1" applyFill="1" applyBorder="1" applyAlignment="1">
      <alignment horizontal="left" vertical="center"/>
    </xf>
    <xf numFmtId="0" fontId="12" fillId="4" borderId="13" xfId="1" applyFont="1" applyFill="1" applyBorder="1" applyAlignment="1">
      <alignment horizontal="left" vertical="center"/>
    </xf>
    <xf numFmtId="0" fontId="32" fillId="4" borderId="13" xfId="1" applyFont="1" applyFill="1" applyBorder="1" applyAlignment="1">
      <alignment horizontal="left" vertical="center"/>
    </xf>
    <xf numFmtId="168" fontId="46" fillId="0" borderId="0" xfId="1" applyNumberFormat="1"/>
    <xf numFmtId="169" fontId="46" fillId="0" borderId="0" xfId="1" applyNumberFormat="1"/>
    <xf numFmtId="22" fontId="46" fillId="0" borderId="0" xfId="1" applyNumberFormat="1"/>
    <xf numFmtId="14" fontId="46" fillId="0" borderId="0" xfId="1" applyNumberFormat="1"/>
    <xf numFmtId="21" fontId="46" fillId="0" borderId="0" xfId="1" applyNumberFormat="1"/>
    <xf numFmtId="0" fontId="54" fillId="32" borderId="5" xfId="1" applyFont="1" applyFill="1" applyBorder="1" applyAlignment="1">
      <alignment horizontal="center"/>
    </xf>
    <xf numFmtId="0" fontId="46" fillId="9" borderId="5" xfId="1" applyFill="1" applyBorder="1"/>
    <xf numFmtId="165" fontId="46" fillId="9" borderId="5" xfId="1" applyNumberFormat="1" applyFill="1" applyBorder="1"/>
    <xf numFmtId="0" fontId="46" fillId="55" borderId="5" xfId="1" applyFill="1" applyBorder="1"/>
    <xf numFmtId="165" fontId="46" fillId="55" borderId="5" xfId="1" applyNumberFormat="1" applyFill="1" applyBorder="1"/>
    <xf numFmtId="0" fontId="18" fillId="0" borderId="0" xfId="1" applyFont="1"/>
    <xf numFmtId="165" fontId="18" fillId="0" borderId="0" xfId="1" applyNumberFormat="1" applyFont="1"/>
    <xf numFmtId="0" fontId="42" fillId="31" borderId="0" xfId="0" applyFont="1" applyFill="1"/>
    <xf numFmtId="0" fontId="0" fillId="31" borderId="0" xfId="0" applyFill="1"/>
    <xf numFmtId="0" fontId="32" fillId="0" borderId="13" xfId="0" applyFont="1" applyBorder="1" applyAlignment="1">
      <alignment horizontal="left" vertical="center"/>
    </xf>
    <xf numFmtId="0" fontId="0" fillId="0" borderId="14" xfId="0" applyBorder="1"/>
    <xf numFmtId="0" fontId="32" fillId="0" borderId="5" xfId="0" applyFont="1" applyBorder="1" applyAlignment="1">
      <alignment horizontal="left" vertical="center"/>
    </xf>
    <xf numFmtId="0" fontId="0" fillId="0" borderId="7" xfId="0" applyBorder="1"/>
    <xf numFmtId="0" fontId="20" fillId="2" borderId="0" xfId="0" applyFont="1" applyFill="1" applyAlignment="1">
      <alignment horizontal="center" vertical="center"/>
    </xf>
    <xf numFmtId="0" fontId="0" fillId="0" borderId="0" xfId="0"/>
    <xf numFmtId="0" fontId="21" fillId="22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18" fillId="8" borderId="12" xfId="0" applyFont="1" applyFill="1" applyBorder="1" applyAlignment="1">
      <alignment horizontal="center"/>
    </xf>
    <xf numFmtId="0" fontId="18" fillId="9" borderId="12" xfId="0" applyFont="1" applyFill="1" applyBorder="1" applyAlignment="1">
      <alignment horizontal="center"/>
    </xf>
    <xf numFmtId="0" fontId="18" fillId="10" borderId="12" xfId="0" applyFont="1" applyFill="1" applyBorder="1" applyAlignment="1">
      <alignment horizontal="center"/>
    </xf>
    <xf numFmtId="0" fontId="18" fillId="11" borderId="1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13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 wrapText="1"/>
    </xf>
    <xf numFmtId="0" fontId="15" fillId="4" borderId="5" xfId="0" applyFont="1" applyFill="1" applyBorder="1" applyAlignment="1">
      <alignment horizontal="center" vertical="center"/>
    </xf>
    <xf numFmtId="0" fontId="0" fillId="0" borderId="6" xfId="0" applyBorder="1"/>
    <xf numFmtId="0" fontId="5" fillId="6" borderId="8" xfId="0" applyFont="1" applyFill="1" applyBorder="1" applyAlignment="1">
      <alignment horizontal="left" vertical="center"/>
    </xf>
    <xf numFmtId="0" fontId="0" fillId="0" borderId="9" xfId="0" applyBorder="1"/>
    <xf numFmtId="0" fontId="0" fillId="0" borderId="10" xfId="0" applyBorder="1"/>
    <xf numFmtId="0" fontId="13" fillId="5" borderId="5" xfId="0" applyFont="1" applyFill="1" applyBorder="1" applyAlignment="1">
      <alignment horizontal="left" vertical="center" wrapText="1"/>
    </xf>
    <xf numFmtId="0" fontId="14" fillId="5" borderId="5" xfId="0" applyFont="1" applyFill="1" applyBorder="1" applyAlignment="1">
      <alignment horizontal="left" vertical="center" wrapText="1"/>
    </xf>
    <xf numFmtId="0" fontId="3" fillId="4" borderId="2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4" fillId="5" borderId="5" xfId="0" applyFont="1" applyFill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/>
    </xf>
    <xf numFmtId="0" fontId="0" fillId="0" borderId="11" xfId="0" applyBorder="1"/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Alignment="1">
      <alignment horizontal="center" vertical="center"/>
    </xf>
    <xf numFmtId="0" fontId="46" fillId="0" borderId="0" xfId="1"/>
    <xf numFmtId="0" fontId="2" fillId="2" borderId="0" xfId="1" applyFont="1" applyFill="1" applyAlignment="1">
      <alignment horizontal="center" vertical="center"/>
    </xf>
    <xf numFmtId="0" fontId="1" fillId="43" borderId="0" xfId="1" applyFont="1" applyFill="1" applyAlignment="1">
      <alignment horizontal="center" vertical="center"/>
    </xf>
    <xf numFmtId="0" fontId="1" fillId="6" borderId="0" xfId="1" applyFont="1" applyFill="1" applyAlignment="1">
      <alignment horizontal="center" vertical="center"/>
    </xf>
    <xf numFmtId="0" fontId="54" fillId="2" borderId="0" xfId="1" applyFont="1" applyFill="1" applyAlignment="1">
      <alignment horizontal="center" vertical="center"/>
    </xf>
    <xf numFmtId="0" fontId="32" fillId="24" borderId="0" xfId="1" applyFont="1" applyFill="1" applyAlignment="1">
      <alignment horizontal="center" vertical="center" wrapText="1"/>
    </xf>
    <xf numFmtId="0" fontId="67" fillId="4" borderId="2" xfId="1" applyFont="1" applyFill="1" applyBorder="1" applyAlignment="1">
      <alignment horizontal="center" vertical="center" wrapText="1"/>
    </xf>
    <xf numFmtId="0" fontId="46" fillId="0" borderId="21" xfId="1" applyBorder="1"/>
    <xf numFmtId="0" fontId="46" fillId="0" borderId="22" xfId="1" applyBorder="1"/>
    <xf numFmtId="0" fontId="46" fillId="0" borderId="23" xfId="1" applyBorder="1"/>
    <xf numFmtId="0" fontId="46" fillId="0" borderId="24" xfId="1" applyBorder="1"/>
    <xf numFmtId="0" fontId="46" fillId="0" borderId="25" xfId="1" applyBorder="1"/>
    <xf numFmtId="0" fontId="60" fillId="4" borderId="11" xfId="1" applyFont="1" applyFill="1" applyBorder="1" applyAlignment="1">
      <alignment horizontal="left" vertical="center"/>
    </xf>
    <xf numFmtId="0" fontId="46" fillId="0" borderId="11" xfId="1" applyBorder="1"/>
    <xf numFmtId="0" fontId="15" fillId="4" borderId="5" xfId="1" applyFont="1" applyFill="1" applyBorder="1" applyAlignment="1">
      <alignment horizontal="center" vertical="center"/>
    </xf>
    <xf numFmtId="0" fontId="46" fillId="0" borderId="6" xfId="1" applyBorder="1"/>
    <xf numFmtId="0" fontId="46" fillId="0" borderId="7" xfId="1" applyBorder="1"/>
    <xf numFmtId="0" fontId="11" fillId="5" borderId="8" xfId="1" applyFont="1" applyFill="1" applyBorder="1" applyAlignment="1">
      <alignment horizontal="center" vertical="center"/>
    </xf>
    <xf numFmtId="0" fontId="46" fillId="0" borderId="9" xfId="1" applyBorder="1"/>
    <xf numFmtId="0" fontId="46" fillId="0" borderId="10" xfId="1" applyBorder="1"/>
    <xf numFmtId="0" fontId="13" fillId="5" borderId="5" xfId="1" applyFont="1" applyFill="1" applyBorder="1" applyAlignment="1">
      <alignment horizontal="right" vertical="center"/>
    </xf>
    <xf numFmtId="0" fontId="46" fillId="4" borderId="8" xfId="1" applyFill="1" applyBorder="1"/>
    <xf numFmtId="0" fontId="46" fillId="0" borderId="17" xfId="1" applyBorder="1"/>
    <xf numFmtId="0" fontId="46" fillId="0" borderId="18" xfId="1" applyBorder="1"/>
    <xf numFmtId="0" fontId="46" fillId="0" borderId="19" xfId="1" applyBorder="1"/>
    <xf numFmtId="0" fontId="46" fillId="0" borderId="20" xfId="1" applyBorder="1"/>
    <xf numFmtId="0" fontId="13" fillId="5" borderId="8" xfId="1" applyFont="1" applyFill="1" applyBorder="1" applyAlignment="1">
      <alignment horizontal="center" vertical="center" wrapText="1"/>
    </xf>
    <xf numFmtId="0" fontId="6" fillId="5" borderId="5" xfId="1" applyFont="1" applyFill="1" applyBorder="1" applyAlignment="1">
      <alignment horizontal="right" vertical="center"/>
    </xf>
    <xf numFmtId="14" fontId="25" fillId="4" borderId="8" xfId="1" applyNumberFormat="1" applyFont="1" applyFill="1" applyBorder="1"/>
    <xf numFmtId="0" fontId="63" fillId="4" borderId="8" xfId="1" applyFont="1" applyFill="1" applyBorder="1"/>
    <xf numFmtId="0" fontId="65" fillId="4" borderId="2" xfId="1" applyFont="1" applyFill="1" applyBorder="1" applyAlignment="1">
      <alignment horizontal="center" vertical="center"/>
    </xf>
    <xf numFmtId="0" fontId="46" fillId="0" borderId="3" xfId="1" applyBorder="1"/>
    <xf numFmtId="0" fontId="46" fillId="0" borderId="4" xfId="1" applyBorder="1"/>
    <xf numFmtId="0" fontId="6" fillId="4" borderId="8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/>
    </xf>
    <xf numFmtId="0" fontId="66" fillId="4" borderId="2" xfId="1" applyFont="1" applyFill="1" applyBorder="1" applyAlignment="1">
      <alignment horizontal="center" vertical="center"/>
    </xf>
    <xf numFmtId="0" fontId="25" fillId="4" borderId="8" xfId="1" applyFont="1" applyFill="1" applyBorder="1"/>
    <xf numFmtId="0" fontId="68" fillId="46" borderId="5" xfId="1" applyFont="1" applyFill="1" applyBorder="1" applyAlignment="1">
      <alignment horizontal="right" vertical="center"/>
    </xf>
    <xf numFmtId="0" fontId="46" fillId="0" borderId="5" xfId="1" applyBorder="1"/>
    <xf numFmtId="0" fontId="4" fillId="5" borderId="8" xfId="1" applyFont="1" applyFill="1" applyBorder="1" applyAlignment="1">
      <alignment horizontal="left" vertical="center" wrapText="1"/>
    </xf>
    <xf numFmtId="0" fontId="46" fillId="0" borderId="26" xfId="1" applyBorder="1"/>
    <xf numFmtId="0" fontId="46" fillId="0" borderId="27" xfId="1" applyBorder="1"/>
    <xf numFmtId="0" fontId="69" fillId="4" borderId="11" xfId="1" applyFont="1" applyFill="1" applyBorder="1" applyAlignment="1">
      <alignment horizontal="left" vertical="center"/>
    </xf>
    <xf numFmtId="0" fontId="52" fillId="3" borderId="0" xfId="1" applyFont="1" applyFill="1" applyAlignment="1">
      <alignment horizontal="center" vertical="center"/>
    </xf>
    <xf numFmtId="0" fontId="54" fillId="3" borderId="8" xfId="1" applyFont="1" applyFill="1" applyBorder="1" applyAlignment="1">
      <alignment horizontal="center" vertical="center"/>
    </xf>
    <xf numFmtId="0" fontId="54" fillId="3" borderId="16" xfId="1" applyFont="1" applyFill="1" applyBorder="1" applyAlignment="1">
      <alignment horizontal="center" vertical="center"/>
    </xf>
    <xf numFmtId="0" fontId="46" fillId="0" borderId="28" xfId="1" applyBorder="1"/>
    <xf numFmtId="0" fontId="17" fillId="52" borderId="0" xfId="1" applyFont="1" applyFill="1" applyAlignment="1">
      <alignment horizontal="center" vertical="center"/>
    </xf>
    <xf numFmtId="0" fontId="74" fillId="53" borderId="0" xfId="1" applyFont="1" applyFill="1" applyAlignment="1">
      <alignment horizontal="center" vertical="center"/>
    </xf>
    <xf numFmtId="0" fontId="32" fillId="54" borderId="0" xfId="1" applyFont="1" applyFill="1" applyAlignment="1">
      <alignment horizontal="center" vertical="center" wrapText="1"/>
    </xf>
    <xf numFmtId="0" fontId="75" fillId="0" borderId="0" xfId="1" applyFont="1"/>
  </cellXfs>
  <cellStyles count="2">
    <cellStyle name="Normal" xfId="0" builtinId="0"/>
    <cellStyle name="Normal 2" xfId="1" xr:uid="{CB1227C6-4751-426D-A580-8D8A262BC871}"/>
  </cellStyles>
  <dxfs count="2">
    <dxf>
      <font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ropbox/Logistics.Public.Sector.Refactor/DELIVERY_v13.4/03_ERP_Workbook/GOLDEN_ERP_v13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ropbox/Logistics.Public.Sector.Refactor/ERP_v13.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ARTICLES"/>
      <sheetName val="System_Lists"/>
      <sheetName val="FOURNISSEURS"/>
      <sheetName val="CONVENTIONS"/>
      <sheetName val="MOUVEMENTS"/>
      <sheetName val="TABLEAU DE BORD"/>
      <sheetName val="ALERTE_DASHBOARD"/>
      <sheetName val="INVENTAIRE"/>
      <sheetName val="RAPPORTS"/>
      <sheetName val="CALCULS_EOQ"/>
      <sheetName val="HISTORIQUE"/>
      <sheetName val="BON_RECEPTION"/>
      <sheetName val="BON_SORTIE"/>
      <sheetName val="BON_COMMANDE"/>
      <sheetName val="DA_DEMANDE_ACHAT"/>
      <sheetName val="GUIDE"/>
      <sheetName val="VBA_MODULES"/>
      <sheetName val="AUDIT_LOG"/>
      <sheetName val="DASHBOARD"/>
      <sheetName val="FORM_INPUT"/>
      <sheetName val="BORDEREAU_COMMANDE"/>
      <sheetName val="STAGING_BUFFER"/>
      <sheetName val="SYS_STRINGS"/>
      <sheetName val="RECEIPT_TAG"/>
      <sheetName val="TEMPLATE_BON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F4">
            <v>60</v>
          </cell>
          <cell r="H4">
            <v>4500</v>
          </cell>
          <cell r="K4" t="str">
            <v>OK</v>
          </cell>
        </row>
        <row r="5">
          <cell r="F5">
            <v>22</v>
          </cell>
          <cell r="H5">
            <v>850</v>
          </cell>
          <cell r="K5" t="str">
            <v>OK</v>
          </cell>
        </row>
        <row r="6">
          <cell r="F6">
            <v>11</v>
          </cell>
          <cell r="H6">
            <v>1200</v>
          </cell>
          <cell r="K6" t="str">
            <v>OK</v>
          </cell>
        </row>
        <row r="7">
          <cell r="F7">
            <v>0</v>
          </cell>
          <cell r="H7">
            <v>350</v>
          </cell>
          <cell r="K7" t="str">
            <v>!! RUPTURE</v>
          </cell>
        </row>
        <row r="8">
          <cell r="F8">
            <v>2</v>
          </cell>
          <cell r="H8">
            <v>280</v>
          </cell>
          <cell r="K8" t="str">
            <v>OK</v>
          </cell>
        </row>
        <row r="9">
          <cell r="F9">
            <v>3</v>
          </cell>
          <cell r="H9">
            <v>420</v>
          </cell>
          <cell r="K9" t="str">
            <v>&gt;&gt; COMMANDER</v>
          </cell>
        </row>
        <row r="10">
          <cell r="F10">
            <v>3</v>
          </cell>
          <cell r="H10">
            <v>680</v>
          </cell>
          <cell r="K10" t="str">
            <v>OK</v>
          </cell>
        </row>
        <row r="11">
          <cell r="F11">
            <v>2</v>
          </cell>
          <cell r="H11">
            <v>180</v>
          </cell>
          <cell r="K11" t="str">
            <v>OK</v>
          </cell>
        </row>
        <row r="12">
          <cell r="F12">
            <v>5</v>
          </cell>
          <cell r="H12">
            <v>95</v>
          </cell>
          <cell r="K12" t="str">
            <v>&gt;&gt; COMMANDER</v>
          </cell>
        </row>
        <row r="13">
          <cell r="F13">
            <v>7</v>
          </cell>
          <cell r="H13">
            <v>120</v>
          </cell>
          <cell r="K13" t="str">
            <v>OK</v>
          </cell>
        </row>
        <row r="14">
          <cell r="F14">
            <v>3</v>
          </cell>
          <cell r="H14">
            <v>550</v>
          </cell>
          <cell r="K14" t="str">
            <v>OK</v>
          </cell>
        </row>
        <row r="15">
          <cell r="F15">
            <v>5</v>
          </cell>
          <cell r="H15">
            <v>230</v>
          </cell>
          <cell r="K15" t="str">
            <v>OK</v>
          </cell>
        </row>
        <row r="16">
          <cell r="F16">
            <v>3</v>
          </cell>
          <cell r="H16">
            <v>450</v>
          </cell>
          <cell r="K16" t="str">
            <v>OK</v>
          </cell>
        </row>
        <row r="17">
          <cell r="F17">
            <v>2</v>
          </cell>
          <cell r="H17">
            <v>550</v>
          </cell>
          <cell r="K17" t="str">
            <v>OK</v>
          </cell>
        </row>
        <row r="18">
          <cell r="F18">
            <v>11</v>
          </cell>
          <cell r="H18">
            <v>4500</v>
          </cell>
          <cell r="K18" t="str">
            <v>OK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ARTICLES"/>
      <sheetName val="System_Lists"/>
      <sheetName val="FOURNISSEURS"/>
      <sheetName val="CONVENTIONS"/>
      <sheetName val="MOUVEMENTS"/>
      <sheetName val="TABLEAU DE BORD"/>
      <sheetName val="ALERTE_DASHBOARD"/>
      <sheetName val="INVENTAIRE"/>
      <sheetName val="RAPPORTS"/>
      <sheetName val="CALCULS_EOQ"/>
      <sheetName val="HISTORIQUE"/>
      <sheetName val="BON_RECEPTION"/>
      <sheetName val="BON_SORTIE"/>
      <sheetName val="BON_COMMANDE"/>
      <sheetName val="DA_DEMANDE_ACHAT"/>
      <sheetName val="GUIDE"/>
      <sheetName val="VBA_MODULES"/>
      <sheetName val="AUDIT_LOG"/>
      <sheetName val="DASHBOARD"/>
      <sheetName val="FORM_INPUT"/>
      <sheetName val="BORDEREAU_COMMANDE"/>
      <sheetName val="STAGING_BUFFER"/>
      <sheetName val="SYS_STRINGS"/>
      <sheetName val="RECEIPT_TAG"/>
      <sheetName val="TEMPLATE_BON"/>
    </sheetNames>
    <sheetDataSet>
      <sheetData sheetId="0"/>
      <sheetData sheetId="1">
        <row r="1">
          <cell r="A1" t="str">
            <v>CATALOGUE DES ARTICLES  —  مديرية التربية — البيض  [v8.1 | 12 articles | Catégorie + Alias]</v>
          </cell>
        </row>
        <row r="2">
          <cell r="A2" t="str">
            <v>ART-001</v>
          </cell>
          <cell r="B2" t="str">
            <v>Toner imprimante G030 (noir)</v>
          </cell>
          <cell r="C2">
            <v>500</v>
          </cell>
          <cell r="E2" t="str">
            <v>Informatique</v>
          </cell>
          <cell r="F2" t="str">
            <v>A</v>
          </cell>
          <cell r="G2">
            <v>500</v>
          </cell>
          <cell r="H2">
            <v>4500</v>
          </cell>
        </row>
        <row r="3">
          <cell r="A3" t="str">
            <v>ART-001</v>
          </cell>
          <cell r="B3" t="str">
            <v>Toner imprimante G030 (noir)</v>
          </cell>
          <cell r="C3" t="str">
            <v>حبر طابعة G030</v>
          </cell>
          <cell r="D3" t="str">
            <v>Unité</v>
          </cell>
          <cell r="E3" t="str">
            <v>A</v>
          </cell>
          <cell r="F3">
            <v>200</v>
          </cell>
          <cell r="G3">
            <v>1500</v>
          </cell>
          <cell r="H3">
            <v>1200</v>
          </cell>
        </row>
        <row r="4">
          <cell r="A4" t="str">
            <v>ART-002</v>
          </cell>
          <cell r="B4" t="str">
            <v>Rame papier A4 80g/m²</v>
          </cell>
          <cell r="C4" t="str">
            <v>رزمة ورق A4 80غ</v>
          </cell>
          <cell r="D4" t="str">
            <v>Rame</v>
          </cell>
          <cell r="E4" t="str">
            <v>A</v>
          </cell>
          <cell r="F4" t="str">
            <v>B</v>
          </cell>
          <cell r="G4">
            <v>1500</v>
          </cell>
          <cell r="H4">
            <v>400</v>
          </cell>
        </row>
        <row r="5">
          <cell r="A5" t="str">
            <v>ART-003</v>
          </cell>
          <cell r="B5" t="str">
            <v>Rame papier A3 80g/m²</v>
          </cell>
          <cell r="C5" t="str">
            <v>رزمة ورق A3 80غ</v>
          </cell>
          <cell r="D5" t="str">
            <v>Rame</v>
          </cell>
          <cell r="E5" t="str">
            <v>B</v>
          </cell>
          <cell r="F5" t="str">
            <v>B</v>
          </cell>
          <cell r="G5">
            <v>150</v>
          </cell>
          <cell r="H5">
            <v>600</v>
          </cell>
        </row>
        <row r="6">
          <cell r="A6" t="str">
            <v>ART-004</v>
          </cell>
          <cell r="B6" t="str">
            <v>Boîte archives carton</v>
          </cell>
          <cell r="C6" t="str">
            <v>علبة الأرشيف</v>
          </cell>
          <cell r="D6" t="str">
            <v>Unité</v>
          </cell>
          <cell r="E6" t="str">
            <v>B</v>
          </cell>
          <cell r="F6" t="str">
            <v>C</v>
          </cell>
          <cell r="G6">
            <v>200</v>
          </cell>
          <cell r="H6">
            <v>150</v>
          </cell>
        </row>
        <row r="7">
          <cell r="A7" t="str">
            <v>ART-005</v>
          </cell>
          <cell r="B7" t="str">
            <v>Agrafeuse de bureau</v>
          </cell>
          <cell r="C7" t="str">
            <v>دباسة مكتبية</v>
          </cell>
          <cell r="D7" t="str">
            <v>Unité</v>
          </cell>
          <cell r="E7" t="str">
            <v>C</v>
          </cell>
          <cell r="F7" t="str">
            <v>C</v>
          </cell>
          <cell r="G7">
            <v>10</v>
          </cell>
          <cell r="H7">
            <v>800</v>
          </cell>
        </row>
        <row r="8">
          <cell r="A8" t="str">
            <v>ART-006</v>
          </cell>
          <cell r="B8" t="str">
            <v>Stylos bille boîte/50</v>
          </cell>
          <cell r="C8" t="str">
            <v>أقلام حبر جاف</v>
          </cell>
          <cell r="D8" t="str">
            <v>Boîte</v>
          </cell>
          <cell r="E8" t="str">
            <v>C</v>
          </cell>
          <cell r="F8" t="str">
            <v>C</v>
          </cell>
          <cell r="G8">
            <v>30</v>
          </cell>
          <cell r="H8">
            <v>30</v>
          </cell>
        </row>
        <row r="9">
          <cell r="A9" t="str">
            <v>ART-007</v>
          </cell>
          <cell r="B9" t="str">
            <v>Registre grand format 5m</v>
          </cell>
          <cell r="C9" t="str">
            <v>سجل 5م</v>
          </cell>
          <cell r="D9" t="str">
            <v>Unité</v>
          </cell>
          <cell r="E9" t="str">
            <v>C</v>
          </cell>
          <cell r="F9" t="str">
            <v>C</v>
          </cell>
          <cell r="G9">
            <v>10</v>
          </cell>
          <cell r="H9">
            <v>300</v>
          </cell>
        </row>
        <row r="10">
          <cell r="A10" t="str">
            <v>ART-008</v>
          </cell>
          <cell r="B10" t="str">
            <v>Encre tampon</v>
          </cell>
          <cell r="C10" t="str">
            <v>حبر الختم</v>
          </cell>
          <cell r="D10" t="str">
            <v>Unité</v>
          </cell>
          <cell r="E10" t="str">
            <v>C</v>
          </cell>
          <cell r="F10" t="str">
            <v>C</v>
          </cell>
          <cell r="G10">
            <v>10</v>
          </cell>
          <cell r="H10">
            <v>200</v>
          </cell>
        </row>
        <row r="11">
          <cell r="A11" t="str">
            <v>ART-009</v>
          </cell>
          <cell r="B11" t="str">
            <v>Sous-chemise carton</v>
          </cell>
          <cell r="C11" t="str">
            <v>ملف (sous-chemise)</v>
          </cell>
          <cell r="D11" t="str">
            <v>Unité</v>
          </cell>
          <cell r="E11" t="str">
            <v>C</v>
          </cell>
          <cell r="F11" t="str">
            <v>C</v>
          </cell>
          <cell r="G11">
            <v>100</v>
          </cell>
          <cell r="H11">
            <v>50</v>
          </cell>
        </row>
        <row r="12">
          <cell r="A12" t="str">
            <v>ART-010</v>
          </cell>
          <cell r="B12" t="str">
            <v>Chemise cartonnée</v>
          </cell>
          <cell r="C12" t="str">
            <v>ملف (Chemise)</v>
          </cell>
          <cell r="D12" t="str">
            <v>Unité</v>
          </cell>
          <cell r="E12" t="str">
            <v>C</v>
          </cell>
          <cell r="F12" t="str">
            <v>C</v>
          </cell>
          <cell r="G12">
            <v>50</v>
          </cell>
          <cell r="H12">
            <v>80</v>
          </cell>
        </row>
        <row r="13">
          <cell r="A13" t="str">
            <v>ART-011</v>
          </cell>
          <cell r="B13" t="str">
            <v>Rouleau papier fax</v>
          </cell>
          <cell r="C13" t="str">
            <v>بكرة الفاكس</v>
          </cell>
          <cell r="D13" t="str">
            <v>Rouleau</v>
          </cell>
          <cell r="E13" t="str">
            <v>C</v>
          </cell>
          <cell r="F13" t="str">
            <v>C</v>
          </cell>
          <cell r="G13">
            <v>5</v>
          </cell>
          <cell r="H13">
            <v>400</v>
          </cell>
        </row>
        <row r="14">
          <cell r="A14" t="str">
            <v>ART-012</v>
          </cell>
          <cell r="B14" t="str">
            <v>Marqueur permanent noir</v>
          </cell>
          <cell r="C14" t="str">
            <v>قلم تحديد أسود</v>
          </cell>
          <cell r="D14" t="str">
            <v>Unité</v>
          </cell>
          <cell r="E14" t="str">
            <v>C</v>
          </cell>
          <cell r="F14" t="str">
            <v>C</v>
          </cell>
          <cell r="G14">
            <v>30</v>
          </cell>
          <cell r="H14">
            <v>50</v>
          </cell>
        </row>
        <row r="15">
          <cell r="A15" t="str">
            <v>ART-013</v>
          </cell>
          <cell r="B15" t="str">
            <v>Encre pour cachets</v>
          </cell>
          <cell r="C15" t="str">
            <v>حبر السجلات</v>
          </cell>
          <cell r="D15" t="str">
            <v>Unité</v>
          </cell>
          <cell r="E15" t="str">
            <v>C</v>
          </cell>
          <cell r="F15" t="str">
            <v>C</v>
          </cell>
          <cell r="G15">
            <v>50</v>
          </cell>
          <cell r="H15">
            <v>450</v>
          </cell>
        </row>
        <row r="16">
          <cell r="A16" t="str">
            <v>ART-014</v>
          </cell>
          <cell r="B16" t="str">
            <v>Classeur à levier</v>
          </cell>
          <cell r="C16" t="str">
            <v>مثبت أوراق</v>
          </cell>
          <cell r="D16" t="str">
            <v>Unité</v>
          </cell>
          <cell r="E16" t="str">
            <v>C</v>
          </cell>
          <cell r="F16" t="str">
            <v>C</v>
          </cell>
          <cell r="G16">
            <v>20</v>
          </cell>
          <cell r="H16">
            <v>550</v>
          </cell>
        </row>
        <row r="17">
          <cell r="A17" t="str">
            <v>ART-015</v>
          </cell>
          <cell r="B17" t="str">
            <v>Cartouche toner générique</v>
          </cell>
          <cell r="C17" t="str">
            <v>خرطوشة حبر متوافقة</v>
          </cell>
          <cell r="D17" t="str">
            <v>Unité</v>
          </cell>
          <cell r="E17" t="str">
            <v>B</v>
          </cell>
          <cell r="F17" t="str">
            <v>B</v>
          </cell>
          <cell r="G17">
            <v>100</v>
          </cell>
          <cell r="H17">
            <v>1200</v>
          </cell>
        </row>
      </sheetData>
      <sheetData sheetId="2"/>
      <sheetData sheetId="3"/>
      <sheetData sheetId="4"/>
      <sheetData sheetId="5">
        <row r="1">
          <cell r="A1" t="str">
            <v>DATE</v>
          </cell>
        </row>
        <row r="2">
          <cell r="A2" t="str">
            <v>Date</v>
          </cell>
          <cell r="B2" t="str">
            <v>Code Article</v>
          </cell>
          <cell r="D2" t="str">
            <v>Type
IN/OUT</v>
          </cell>
          <cell r="E2" t="str">
            <v>Quantité</v>
          </cell>
          <cell r="H2" t="str">
            <v>Réf. Doc</v>
          </cell>
        </row>
        <row r="3">
          <cell r="A3">
            <v>46083</v>
          </cell>
          <cell r="B3" t="str">
            <v>ART-002</v>
          </cell>
          <cell r="D3" t="str">
            <v>OUT</v>
          </cell>
          <cell r="E3">
            <v>30</v>
          </cell>
          <cell r="H3">
            <v>850</v>
          </cell>
        </row>
        <row r="4">
          <cell r="A4">
            <v>46084</v>
          </cell>
          <cell r="B4" t="str">
            <v>ART-001</v>
          </cell>
          <cell r="D4" t="str">
            <v>OUT</v>
          </cell>
          <cell r="E4">
            <v>15</v>
          </cell>
          <cell r="H4">
            <v>4500</v>
          </cell>
        </row>
        <row r="5">
          <cell r="A5">
            <v>46084</v>
          </cell>
          <cell r="B5" t="str">
            <v>ART-006</v>
          </cell>
          <cell r="D5" t="str">
            <v>OUT</v>
          </cell>
          <cell r="E5">
            <v>15</v>
          </cell>
          <cell r="H5">
            <v>420</v>
          </cell>
        </row>
        <row r="6">
          <cell r="A6">
            <v>46084</v>
          </cell>
          <cell r="B6" t="str">
            <v>ART-007</v>
          </cell>
          <cell r="D6" t="str">
            <v>IN</v>
          </cell>
          <cell r="E6">
            <v>25</v>
          </cell>
          <cell r="H6">
            <v>680</v>
          </cell>
        </row>
        <row r="7">
          <cell r="A7">
            <v>46084</v>
          </cell>
          <cell r="B7" t="str">
            <v>ART-011</v>
          </cell>
          <cell r="D7" t="str">
            <v>IN</v>
          </cell>
          <cell r="E7">
            <v>8</v>
          </cell>
          <cell r="H7">
            <v>550</v>
          </cell>
        </row>
        <row r="8">
          <cell r="A8">
            <v>46084</v>
          </cell>
          <cell r="B8" t="str">
            <v>ART-012</v>
          </cell>
          <cell r="D8" t="str">
            <v>IN</v>
          </cell>
          <cell r="E8">
            <v>35</v>
          </cell>
          <cell r="H8">
            <v>230</v>
          </cell>
        </row>
        <row r="9">
          <cell r="A9">
            <v>46084</v>
          </cell>
          <cell r="B9" t="str">
            <v>ART-013</v>
          </cell>
          <cell r="D9" t="str">
            <v>IN</v>
          </cell>
          <cell r="E9">
            <v>8</v>
          </cell>
          <cell r="H9">
            <v>450</v>
          </cell>
        </row>
        <row r="10">
          <cell r="A10">
            <v>46084</v>
          </cell>
          <cell r="B10" t="str">
            <v>ART-014</v>
          </cell>
          <cell r="D10" t="str">
            <v>IN</v>
          </cell>
          <cell r="E10">
            <v>10</v>
          </cell>
          <cell r="H10">
            <v>550</v>
          </cell>
        </row>
        <row r="11">
          <cell r="A11">
            <v>46085</v>
          </cell>
          <cell r="B11" t="str">
            <v>ART-003</v>
          </cell>
          <cell r="D11" t="str">
            <v>OUT</v>
          </cell>
          <cell r="E11">
            <v>12</v>
          </cell>
          <cell r="H11">
            <v>1200</v>
          </cell>
        </row>
        <row r="12">
          <cell r="A12">
            <v>46085</v>
          </cell>
          <cell r="B12" t="str">
            <v>ART-005</v>
          </cell>
          <cell r="D12" t="str">
            <v>IN</v>
          </cell>
          <cell r="E12">
            <v>15</v>
          </cell>
          <cell r="H12">
            <v>280</v>
          </cell>
        </row>
        <row r="13">
          <cell r="A13">
            <v>46085</v>
          </cell>
          <cell r="B13" t="str">
            <v>ART-008</v>
          </cell>
          <cell r="D13" t="str">
            <v>IN</v>
          </cell>
          <cell r="E13">
            <v>10</v>
          </cell>
          <cell r="H13">
            <v>180</v>
          </cell>
        </row>
        <row r="14">
          <cell r="A14">
            <v>46086</v>
          </cell>
          <cell r="B14" t="str">
            <v>ART-002</v>
          </cell>
          <cell r="D14" t="str">
            <v>OUT</v>
          </cell>
          <cell r="E14">
            <v>25</v>
          </cell>
          <cell r="H14">
            <v>850</v>
          </cell>
        </row>
        <row r="15">
          <cell r="A15">
            <v>46086</v>
          </cell>
          <cell r="B15" t="str">
            <v>ART-006</v>
          </cell>
          <cell r="D15" t="str">
            <v>IN</v>
          </cell>
          <cell r="E15">
            <v>55</v>
          </cell>
          <cell r="H15">
            <v>420</v>
          </cell>
        </row>
        <row r="16">
          <cell r="A16">
            <v>46086</v>
          </cell>
          <cell r="B16" t="str">
            <v>ART-009</v>
          </cell>
          <cell r="D16" t="str">
            <v>OUT</v>
          </cell>
          <cell r="E16">
            <v>25</v>
          </cell>
          <cell r="H16">
            <v>95</v>
          </cell>
        </row>
        <row r="17">
          <cell r="A17">
            <v>46087</v>
          </cell>
          <cell r="B17" t="str">
            <v>ART-004</v>
          </cell>
          <cell r="D17" t="str">
            <v>OUT</v>
          </cell>
          <cell r="E17">
            <v>20</v>
          </cell>
          <cell r="H17">
            <v>350</v>
          </cell>
        </row>
        <row r="18">
          <cell r="A18">
            <v>46087</v>
          </cell>
          <cell r="B18" t="str">
            <v>ART-009</v>
          </cell>
          <cell r="D18" t="str">
            <v>IN</v>
          </cell>
          <cell r="E18">
            <v>65</v>
          </cell>
          <cell r="H18">
            <v>95</v>
          </cell>
        </row>
        <row r="19">
          <cell r="A19">
            <v>46087</v>
          </cell>
          <cell r="B19" t="str">
            <v>ART-013</v>
          </cell>
          <cell r="D19" t="str">
            <v>OUT</v>
          </cell>
          <cell r="E19">
            <v>2</v>
          </cell>
          <cell r="H19">
            <v>450</v>
          </cell>
        </row>
        <row r="20">
          <cell r="A20">
            <v>46088</v>
          </cell>
          <cell r="B20" t="str">
            <v>ART-001</v>
          </cell>
          <cell r="D20" t="str">
            <v>OUT</v>
          </cell>
          <cell r="E20">
            <v>20</v>
          </cell>
          <cell r="H20">
            <v>4500</v>
          </cell>
        </row>
        <row r="21">
          <cell r="A21">
            <v>46088</v>
          </cell>
          <cell r="B21" t="str">
            <v>ART-010</v>
          </cell>
          <cell r="D21" t="str">
            <v>OUT</v>
          </cell>
          <cell r="E21">
            <v>18</v>
          </cell>
          <cell r="H21">
            <v>120</v>
          </cell>
        </row>
        <row r="22">
          <cell r="A22">
            <v>46089</v>
          </cell>
          <cell r="B22" t="str">
            <v>ART-002</v>
          </cell>
          <cell r="D22" t="str">
            <v>OUT</v>
          </cell>
          <cell r="E22">
            <v>35</v>
          </cell>
          <cell r="H22">
            <v>850</v>
          </cell>
        </row>
        <row r="23">
          <cell r="A23">
            <v>46089</v>
          </cell>
          <cell r="B23" t="str">
            <v>ART-002</v>
          </cell>
          <cell r="D23" t="str">
            <v>IN</v>
          </cell>
          <cell r="E23">
            <v>150</v>
          </cell>
          <cell r="H23">
            <v>850</v>
          </cell>
        </row>
        <row r="24">
          <cell r="A24">
            <v>46089</v>
          </cell>
          <cell r="B24" t="str">
            <v>ART-007</v>
          </cell>
          <cell r="D24" t="str">
            <v>OUT</v>
          </cell>
          <cell r="E24">
            <v>10</v>
          </cell>
          <cell r="H24">
            <v>680</v>
          </cell>
        </row>
        <row r="25">
          <cell r="A25">
            <v>46090</v>
          </cell>
          <cell r="B25" t="str">
            <v>ART-006</v>
          </cell>
          <cell r="D25" t="str">
            <v>OUT</v>
          </cell>
          <cell r="E25">
            <v>18</v>
          </cell>
          <cell r="H25">
            <v>420</v>
          </cell>
        </row>
        <row r="26">
          <cell r="A26">
            <v>46090</v>
          </cell>
          <cell r="B26" t="str">
            <v>ART-012</v>
          </cell>
          <cell r="D26" t="str">
            <v>OUT</v>
          </cell>
          <cell r="E26">
            <v>8</v>
          </cell>
          <cell r="H26">
            <v>230</v>
          </cell>
        </row>
        <row r="27">
          <cell r="A27">
            <v>46091</v>
          </cell>
          <cell r="B27" t="str">
            <v>ART-001</v>
          </cell>
          <cell r="D27" t="str">
            <v>IN</v>
          </cell>
          <cell r="E27">
            <v>80</v>
          </cell>
          <cell r="H27">
            <v>4500</v>
          </cell>
        </row>
        <row r="28">
          <cell r="A28">
            <v>46091</v>
          </cell>
          <cell r="B28" t="str">
            <v>ART-003</v>
          </cell>
          <cell r="D28" t="str">
            <v>OUT</v>
          </cell>
          <cell r="E28">
            <v>15</v>
          </cell>
          <cell r="H28">
            <v>1200</v>
          </cell>
        </row>
        <row r="29">
          <cell r="A29">
            <v>46091</v>
          </cell>
          <cell r="B29" t="str">
            <v>ART-011</v>
          </cell>
          <cell r="D29" t="str">
            <v>OUT</v>
          </cell>
          <cell r="E29">
            <v>2</v>
          </cell>
          <cell r="H29">
            <v>550</v>
          </cell>
        </row>
        <row r="30">
          <cell r="A30">
            <v>46091</v>
          </cell>
          <cell r="B30" t="str">
            <v>ART-015</v>
          </cell>
          <cell r="D30" t="str">
            <v>OUT</v>
          </cell>
          <cell r="E30">
            <v>5</v>
          </cell>
          <cell r="H30">
            <v>4500</v>
          </cell>
        </row>
        <row r="31">
          <cell r="A31">
            <v>46092</v>
          </cell>
          <cell r="B31" t="str">
            <v>ART-005</v>
          </cell>
          <cell r="D31" t="str">
            <v>OUT</v>
          </cell>
          <cell r="E31">
            <v>5</v>
          </cell>
          <cell r="H31">
            <v>280</v>
          </cell>
        </row>
        <row r="32">
          <cell r="A32">
            <v>46093</v>
          </cell>
          <cell r="B32" t="str">
            <v>ART-001</v>
          </cell>
          <cell r="D32" t="str">
            <v>OUT</v>
          </cell>
          <cell r="E32">
            <v>18</v>
          </cell>
          <cell r="H32">
            <v>4500</v>
          </cell>
        </row>
        <row r="33">
          <cell r="A33">
            <v>46093</v>
          </cell>
          <cell r="B33" t="str">
            <v>ART-002</v>
          </cell>
          <cell r="D33" t="str">
            <v>OUT</v>
          </cell>
          <cell r="E33">
            <v>28</v>
          </cell>
          <cell r="H33">
            <v>850</v>
          </cell>
        </row>
        <row r="34">
          <cell r="A34">
            <v>46093</v>
          </cell>
          <cell r="B34" t="str">
            <v>ART-009</v>
          </cell>
          <cell r="D34" t="str">
            <v>OUT</v>
          </cell>
          <cell r="E34">
            <v>30</v>
          </cell>
          <cell r="H34">
            <v>95</v>
          </cell>
        </row>
        <row r="35">
          <cell r="A35">
            <v>46093</v>
          </cell>
          <cell r="B35" t="str">
            <v>ART-014</v>
          </cell>
          <cell r="D35" t="str">
            <v>OUT</v>
          </cell>
          <cell r="E35">
            <v>3</v>
          </cell>
          <cell r="H35">
            <v>550</v>
          </cell>
        </row>
        <row r="36">
          <cell r="A36">
            <v>46095</v>
          </cell>
          <cell r="B36" t="str">
            <v>ART-003</v>
          </cell>
          <cell r="D36" t="str">
            <v>IN</v>
          </cell>
          <cell r="E36">
            <v>80</v>
          </cell>
          <cell r="H36">
            <v>1200</v>
          </cell>
        </row>
        <row r="37">
          <cell r="A37">
            <v>46095</v>
          </cell>
          <cell r="B37" t="str">
            <v>ART-006</v>
          </cell>
          <cell r="D37" t="str">
            <v>OUT</v>
          </cell>
          <cell r="E37">
            <v>20</v>
          </cell>
          <cell r="H37">
            <v>420</v>
          </cell>
        </row>
        <row r="38">
          <cell r="A38">
            <v>46095</v>
          </cell>
          <cell r="B38" t="str">
            <v>ART-010</v>
          </cell>
          <cell r="D38" t="str">
            <v>OUT</v>
          </cell>
          <cell r="E38">
            <v>22</v>
          </cell>
          <cell r="H38">
            <v>120</v>
          </cell>
        </row>
        <row r="39">
          <cell r="A39">
            <v>46096</v>
          </cell>
          <cell r="B39" t="str">
            <v>ART-002</v>
          </cell>
          <cell r="D39" t="str">
            <v>OUT</v>
          </cell>
          <cell r="E39">
            <v>30</v>
          </cell>
          <cell r="H39">
            <v>850</v>
          </cell>
        </row>
        <row r="40">
          <cell r="A40">
            <v>46096</v>
          </cell>
          <cell r="B40" t="str">
            <v>ART-006</v>
          </cell>
          <cell r="D40" t="str">
            <v>IN</v>
          </cell>
          <cell r="E40">
            <v>50</v>
          </cell>
          <cell r="H40">
            <v>420</v>
          </cell>
        </row>
        <row r="41">
          <cell r="A41">
            <v>46096</v>
          </cell>
          <cell r="B41" t="str">
            <v>ART-008</v>
          </cell>
          <cell r="D41" t="str">
            <v>OUT</v>
          </cell>
          <cell r="E41">
            <v>3</v>
          </cell>
          <cell r="H41">
            <v>180</v>
          </cell>
        </row>
        <row r="42">
          <cell r="A42">
            <v>46097</v>
          </cell>
          <cell r="B42" t="str">
            <v>ART-004</v>
          </cell>
          <cell r="D42" t="str">
            <v>OUT</v>
          </cell>
          <cell r="E42">
            <v>15</v>
          </cell>
          <cell r="H42">
            <v>350</v>
          </cell>
        </row>
        <row r="43">
          <cell r="A43">
            <v>46098</v>
          </cell>
          <cell r="B43" t="str">
            <v>ART-003</v>
          </cell>
          <cell r="D43" t="str">
            <v>OUT</v>
          </cell>
          <cell r="E43">
            <v>10</v>
          </cell>
          <cell r="H43">
            <v>1200</v>
          </cell>
        </row>
        <row r="44">
          <cell r="A44">
            <v>46099</v>
          </cell>
          <cell r="B44" t="str">
            <v>ART-001</v>
          </cell>
          <cell r="D44" t="str">
            <v>OUT</v>
          </cell>
          <cell r="E44">
            <v>22</v>
          </cell>
          <cell r="H44">
            <v>4500</v>
          </cell>
        </row>
        <row r="45">
          <cell r="A45">
            <v>46099</v>
          </cell>
          <cell r="B45" t="str">
            <v>ART-002</v>
          </cell>
          <cell r="D45" t="str">
            <v>OUT</v>
          </cell>
          <cell r="E45">
            <v>32</v>
          </cell>
          <cell r="H45">
            <v>850</v>
          </cell>
        </row>
        <row r="46">
          <cell r="A46">
            <v>46099</v>
          </cell>
          <cell r="B46" t="str">
            <v>ART-009</v>
          </cell>
          <cell r="D46" t="str">
            <v>IN</v>
          </cell>
          <cell r="E46">
            <v>65</v>
          </cell>
          <cell r="H46">
            <v>95</v>
          </cell>
        </row>
        <row r="47">
          <cell r="A47">
            <v>46099</v>
          </cell>
          <cell r="B47" t="str">
            <v>ART-012</v>
          </cell>
          <cell r="D47" t="str">
            <v>OUT</v>
          </cell>
          <cell r="E47">
            <v>12</v>
          </cell>
          <cell r="H47">
            <v>230</v>
          </cell>
        </row>
        <row r="48">
          <cell r="A48">
            <v>46099</v>
          </cell>
          <cell r="B48" t="str">
            <v>ART-015</v>
          </cell>
          <cell r="D48" t="str">
            <v>IN</v>
          </cell>
          <cell r="E48">
            <v>30</v>
          </cell>
          <cell r="H48">
            <v>4500</v>
          </cell>
        </row>
        <row r="49">
          <cell r="A49">
            <v>46100</v>
          </cell>
          <cell r="B49" t="str">
            <v>ART-009</v>
          </cell>
          <cell r="D49" t="str">
            <v>OUT</v>
          </cell>
          <cell r="E49">
            <v>20</v>
          </cell>
          <cell r="H49">
            <v>95</v>
          </cell>
        </row>
        <row r="50">
          <cell r="A50">
            <v>46101</v>
          </cell>
          <cell r="B50" t="str">
            <v>ART-004</v>
          </cell>
          <cell r="D50" t="str">
            <v>IN</v>
          </cell>
          <cell r="E50">
            <v>60</v>
          </cell>
          <cell r="H50">
            <v>350</v>
          </cell>
        </row>
        <row r="51">
          <cell r="A51">
            <v>46101</v>
          </cell>
          <cell r="B51" t="str">
            <v>ART-006</v>
          </cell>
          <cell r="D51" t="str">
            <v>OUT</v>
          </cell>
          <cell r="E51">
            <v>12</v>
          </cell>
          <cell r="H51">
            <v>420</v>
          </cell>
        </row>
        <row r="52">
          <cell r="A52">
            <v>46101</v>
          </cell>
          <cell r="B52" t="str">
            <v>ART-010</v>
          </cell>
          <cell r="D52" t="str">
            <v>IN</v>
          </cell>
          <cell r="E52">
            <v>100</v>
          </cell>
          <cell r="H52">
            <v>120</v>
          </cell>
        </row>
        <row r="53">
          <cell r="A53">
            <v>46101</v>
          </cell>
          <cell r="B53" t="str">
            <v>ART-013</v>
          </cell>
          <cell r="D53" t="str">
            <v>OUT</v>
          </cell>
          <cell r="E53">
            <v>3</v>
          </cell>
          <cell r="H53">
            <v>450</v>
          </cell>
        </row>
        <row r="54">
          <cell r="A54">
            <v>46102</v>
          </cell>
          <cell r="B54" t="str">
            <v>ART-010</v>
          </cell>
          <cell r="D54" t="str">
            <v>OUT</v>
          </cell>
          <cell r="E54">
            <v>15</v>
          </cell>
          <cell r="H54">
            <v>120</v>
          </cell>
        </row>
        <row r="55">
          <cell r="A55">
            <v>46103</v>
          </cell>
          <cell r="B55" t="str">
            <v>ART-002</v>
          </cell>
          <cell r="D55" t="str">
            <v>OUT</v>
          </cell>
          <cell r="E55">
            <v>28</v>
          </cell>
          <cell r="H55">
            <v>850</v>
          </cell>
        </row>
        <row r="56">
          <cell r="A56">
            <v>46103</v>
          </cell>
          <cell r="B56" t="str">
            <v>ART-007</v>
          </cell>
          <cell r="D56" t="str">
            <v>OUT</v>
          </cell>
          <cell r="E56">
            <v>12</v>
          </cell>
          <cell r="H56">
            <v>680</v>
          </cell>
        </row>
        <row r="57">
          <cell r="A57">
            <v>46103</v>
          </cell>
          <cell r="B57" t="str">
            <v>ART-015</v>
          </cell>
          <cell r="D57" t="str">
            <v>OUT</v>
          </cell>
          <cell r="E57">
            <v>8</v>
          </cell>
          <cell r="H57">
            <v>4500</v>
          </cell>
        </row>
        <row r="58">
          <cell r="A58">
            <v>46105</v>
          </cell>
          <cell r="B58" t="str">
            <v>ART-002</v>
          </cell>
          <cell r="D58" t="str">
            <v>IN</v>
          </cell>
          <cell r="E58">
            <v>200</v>
          </cell>
          <cell r="H58">
            <v>850</v>
          </cell>
        </row>
        <row r="59">
          <cell r="A59">
            <v>46105</v>
          </cell>
          <cell r="B59" t="str">
            <v>ART-003</v>
          </cell>
          <cell r="D59" t="str">
            <v>OUT</v>
          </cell>
          <cell r="E59">
            <v>18</v>
          </cell>
          <cell r="H59">
            <v>1200</v>
          </cell>
        </row>
        <row r="60">
          <cell r="A60">
            <v>46106</v>
          </cell>
          <cell r="B60" t="str">
            <v>ART-001</v>
          </cell>
          <cell r="D60" t="str">
            <v>OUT</v>
          </cell>
          <cell r="E60">
            <v>25</v>
          </cell>
          <cell r="H60">
            <v>4500</v>
          </cell>
        </row>
        <row r="61">
          <cell r="A61">
            <v>46106</v>
          </cell>
          <cell r="B61" t="str">
            <v>ART-002</v>
          </cell>
          <cell r="D61" t="str">
            <v>OUT</v>
          </cell>
          <cell r="E61">
            <v>30</v>
          </cell>
          <cell r="H61">
            <v>850</v>
          </cell>
        </row>
        <row r="62">
          <cell r="A62">
            <v>46106</v>
          </cell>
          <cell r="B62" t="str">
            <v>ART-011</v>
          </cell>
          <cell r="D62" t="str">
            <v>OUT</v>
          </cell>
          <cell r="E62">
            <v>3</v>
          </cell>
          <cell r="H62">
            <v>550</v>
          </cell>
        </row>
        <row r="63">
          <cell r="A63">
            <v>46107</v>
          </cell>
          <cell r="B63" t="str">
            <v>ART-004</v>
          </cell>
          <cell r="D63" t="str">
            <v>OUT</v>
          </cell>
          <cell r="E63">
            <v>25</v>
          </cell>
          <cell r="H63">
            <v>350</v>
          </cell>
        </row>
        <row r="64">
          <cell r="A64">
            <v>46107</v>
          </cell>
          <cell r="B64" t="str">
            <v>ART-009</v>
          </cell>
          <cell r="D64" t="str">
            <v>OUT</v>
          </cell>
          <cell r="E64">
            <v>28</v>
          </cell>
          <cell r="H64">
            <v>95</v>
          </cell>
        </row>
        <row r="65">
          <cell r="A65">
            <v>46107</v>
          </cell>
          <cell r="B65" t="str">
            <v>ART-014</v>
          </cell>
          <cell r="D65" t="str">
            <v>OUT</v>
          </cell>
          <cell r="E65">
            <v>5</v>
          </cell>
          <cell r="H65">
            <v>550</v>
          </cell>
        </row>
        <row r="66">
          <cell r="A66">
            <v>46108</v>
          </cell>
          <cell r="B66" t="str">
            <v>ART-005</v>
          </cell>
          <cell r="D66" t="str">
            <v>OUT</v>
          </cell>
          <cell r="E66">
            <v>8</v>
          </cell>
          <cell r="H66">
            <v>280</v>
          </cell>
        </row>
        <row r="67">
          <cell r="A67">
            <v>46108</v>
          </cell>
          <cell r="B67" t="str">
            <v>ART-006</v>
          </cell>
          <cell r="D67" t="str">
            <v>OUT</v>
          </cell>
          <cell r="E67">
            <v>22</v>
          </cell>
          <cell r="H67">
            <v>420</v>
          </cell>
        </row>
        <row r="68">
          <cell r="A68">
            <v>46109</v>
          </cell>
          <cell r="B68" t="str">
            <v>ART-001</v>
          </cell>
          <cell r="D68" t="str">
            <v>IN</v>
          </cell>
          <cell r="E68">
            <v>100</v>
          </cell>
          <cell r="H68">
            <v>4500</v>
          </cell>
        </row>
        <row r="69">
          <cell r="A69">
            <v>46109</v>
          </cell>
          <cell r="B69" t="str">
            <v>ART-002</v>
          </cell>
          <cell r="D69" t="str">
            <v>OUT</v>
          </cell>
          <cell r="E69">
            <v>35</v>
          </cell>
          <cell r="H69">
            <v>850</v>
          </cell>
        </row>
        <row r="70">
          <cell r="A70">
            <v>46109</v>
          </cell>
          <cell r="B70" t="str">
            <v>ART-010</v>
          </cell>
          <cell r="D70" t="str">
            <v>OUT</v>
          </cell>
          <cell r="E70">
            <v>20</v>
          </cell>
          <cell r="H70">
            <v>120</v>
          </cell>
        </row>
        <row r="71">
          <cell r="A71">
            <v>46109</v>
          </cell>
          <cell r="B71" t="str">
            <v>ART-012</v>
          </cell>
          <cell r="D71" t="str">
            <v>OUT</v>
          </cell>
          <cell r="E71">
            <v>10</v>
          </cell>
          <cell r="H71">
            <v>230</v>
          </cell>
        </row>
        <row r="72">
          <cell r="A72">
            <v>46111</v>
          </cell>
          <cell r="B72" t="str">
            <v>ART-008</v>
          </cell>
          <cell r="D72" t="str">
            <v>OUT</v>
          </cell>
          <cell r="E72">
            <v>5</v>
          </cell>
          <cell r="H72">
            <v>180</v>
          </cell>
        </row>
        <row r="73">
          <cell r="A73">
            <v>46112</v>
          </cell>
          <cell r="B73" t="str">
            <v>ART-003</v>
          </cell>
          <cell r="D73" t="str">
            <v>OUT</v>
          </cell>
          <cell r="E73">
            <v>14</v>
          </cell>
          <cell r="H73">
            <v>1200</v>
          </cell>
        </row>
        <row r="74">
          <cell r="A74">
            <v>46113</v>
          </cell>
          <cell r="B74" t="str">
            <v>ART-001</v>
          </cell>
          <cell r="D74" t="str">
            <v>OUT</v>
          </cell>
          <cell r="E74">
            <v>20</v>
          </cell>
          <cell r="H74">
            <v>4500</v>
          </cell>
        </row>
        <row r="75">
          <cell r="A75">
            <v>46113</v>
          </cell>
          <cell r="B75" t="str">
            <v>ART-002</v>
          </cell>
          <cell r="D75" t="str">
            <v>OUT</v>
          </cell>
          <cell r="E75">
            <v>25</v>
          </cell>
          <cell r="H75">
            <v>850</v>
          </cell>
        </row>
        <row r="76">
          <cell r="A76">
            <v>46114</v>
          </cell>
          <cell r="B76" t="str">
            <v>ART-006</v>
          </cell>
          <cell r="D76" t="str">
            <v>OUT</v>
          </cell>
          <cell r="E76">
            <v>15</v>
          </cell>
          <cell r="H76">
            <v>420</v>
          </cell>
        </row>
        <row r="77">
          <cell r="A77">
            <v>46115</v>
          </cell>
          <cell r="B77" t="str">
            <v>ART-009</v>
          </cell>
          <cell r="D77" t="str">
            <v>OUT</v>
          </cell>
          <cell r="E77">
            <v>22</v>
          </cell>
          <cell r="H77">
            <v>95</v>
          </cell>
        </row>
        <row r="78">
          <cell r="A78">
            <v>46115</v>
          </cell>
          <cell r="B78" t="str">
            <v>ART-015</v>
          </cell>
          <cell r="D78" t="str">
            <v>OUT</v>
          </cell>
          <cell r="E78">
            <v>6</v>
          </cell>
          <cell r="H78">
            <v>4500</v>
          </cell>
        </row>
        <row r="79">
          <cell r="A79">
            <v>46116</v>
          </cell>
          <cell r="B79" t="str">
            <v>ART-002</v>
          </cell>
          <cell r="D79" t="str">
            <v>OUT</v>
          </cell>
          <cell r="E79">
            <v>30</v>
          </cell>
          <cell r="H79">
            <v>850</v>
          </cell>
        </row>
        <row r="80">
          <cell r="A80">
            <v>46116</v>
          </cell>
          <cell r="B80" t="str">
            <v>ART-010</v>
          </cell>
          <cell r="D80" t="str">
            <v>OUT</v>
          </cell>
          <cell r="E80">
            <v>18</v>
          </cell>
          <cell r="H80">
            <v>120</v>
          </cell>
        </row>
      </sheetData>
      <sheetData sheetId="6">
        <row r="4">
          <cell r="A4" t="str">
            <v>ART-001</v>
          </cell>
          <cell r="B4" t="str">
            <v>Toner imprimante G030 (noir)</v>
          </cell>
          <cell r="C4" t="str">
            <v>Informatique</v>
          </cell>
          <cell r="F4">
            <v>60</v>
          </cell>
          <cell r="G4">
            <v>0</v>
          </cell>
          <cell r="H4">
            <v>4500</v>
          </cell>
          <cell r="I4">
            <v>270000</v>
          </cell>
          <cell r="J4">
            <v>6.3157894736842106</v>
          </cell>
          <cell r="K4" t="str">
            <v>OK</v>
          </cell>
        </row>
        <row r="5">
          <cell r="A5" t="str">
            <v>ART-002</v>
          </cell>
          <cell r="B5" t="str">
            <v>Rame papier A4 80g/m²</v>
          </cell>
          <cell r="C5" t="str">
            <v>A</v>
          </cell>
          <cell r="F5">
            <v>22</v>
          </cell>
          <cell r="G5">
            <v>0</v>
          </cell>
          <cell r="H5">
            <v>850</v>
          </cell>
          <cell r="I5">
            <v>18700</v>
          </cell>
          <cell r="J5">
            <v>17.263157894736842</v>
          </cell>
          <cell r="K5" t="str">
            <v>OK</v>
          </cell>
        </row>
        <row r="6">
          <cell r="A6" t="str">
            <v>ART-003</v>
          </cell>
          <cell r="B6" t="str">
            <v>Rame papier A3 80g/m²</v>
          </cell>
          <cell r="C6" t="str">
            <v>B</v>
          </cell>
          <cell r="F6">
            <v>11</v>
          </cell>
          <cell r="G6">
            <v>0</v>
          </cell>
          <cell r="H6">
            <v>1200</v>
          </cell>
          <cell r="I6">
            <v>13200</v>
          </cell>
          <cell r="J6">
            <v>3.6315789473684212</v>
          </cell>
          <cell r="K6" t="str">
            <v>OK</v>
          </cell>
        </row>
        <row r="7">
          <cell r="A7" t="str">
            <v>ART-004</v>
          </cell>
          <cell r="B7" t="str">
            <v>Boîte archives carton</v>
          </cell>
          <cell r="C7" t="str">
            <v>B</v>
          </cell>
          <cell r="F7">
            <v>0</v>
          </cell>
          <cell r="G7">
            <v>0</v>
          </cell>
          <cell r="H7">
            <v>350</v>
          </cell>
          <cell r="I7">
            <v>0</v>
          </cell>
          <cell r="J7">
            <v>3.1578947368421053</v>
          </cell>
          <cell r="K7" t="str">
            <v>!! RUPTURE</v>
          </cell>
        </row>
        <row r="8">
          <cell r="A8" t="str">
            <v>ART-005</v>
          </cell>
          <cell r="B8" t="str">
            <v>Agrafeuse de bureau</v>
          </cell>
          <cell r="C8" t="str">
            <v>C</v>
          </cell>
          <cell r="F8">
            <v>2</v>
          </cell>
          <cell r="G8">
            <v>0</v>
          </cell>
          <cell r="H8">
            <v>280</v>
          </cell>
          <cell r="I8">
            <v>560</v>
          </cell>
          <cell r="J8">
            <v>0.68421052631578949</v>
          </cell>
          <cell r="K8" t="str">
            <v>OK</v>
          </cell>
        </row>
        <row r="9">
          <cell r="A9" t="str">
            <v>ART-006</v>
          </cell>
          <cell r="B9" t="str">
            <v>Stylos bille boîte/50</v>
          </cell>
          <cell r="C9" t="str">
            <v>C</v>
          </cell>
          <cell r="F9">
            <v>3</v>
          </cell>
          <cell r="G9">
            <v>0</v>
          </cell>
          <cell r="H9">
            <v>420</v>
          </cell>
          <cell r="I9">
            <v>1260</v>
          </cell>
          <cell r="J9">
            <v>5.3684210526315788</v>
          </cell>
          <cell r="K9" t="str">
            <v>&gt;&gt; COMMANDER</v>
          </cell>
        </row>
        <row r="10">
          <cell r="A10" t="str">
            <v>ART-007</v>
          </cell>
          <cell r="B10" t="str">
            <v>Registre grand format 5m</v>
          </cell>
          <cell r="C10" t="str">
            <v>C</v>
          </cell>
          <cell r="F10">
            <v>3</v>
          </cell>
          <cell r="G10">
            <v>0</v>
          </cell>
          <cell r="H10">
            <v>680</v>
          </cell>
          <cell r="I10">
            <v>2040</v>
          </cell>
          <cell r="J10">
            <v>1.1578947368421053</v>
          </cell>
          <cell r="K10" t="str">
            <v>OK</v>
          </cell>
        </row>
        <row r="11">
          <cell r="A11" t="str">
            <v>ART-008</v>
          </cell>
          <cell r="B11" t="str">
            <v>Encre tampon</v>
          </cell>
          <cell r="C11" t="str">
            <v>C</v>
          </cell>
          <cell r="F11">
            <v>2</v>
          </cell>
          <cell r="G11">
            <v>0</v>
          </cell>
          <cell r="H11">
            <v>180</v>
          </cell>
          <cell r="I11">
            <v>360</v>
          </cell>
          <cell r="J11">
            <v>0.42105263157894735</v>
          </cell>
          <cell r="K11" t="str">
            <v>OK</v>
          </cell>
        </row>
        <row r="12">
          <cell r="A12" t="str">
            <v>ART-009</v>
          </cell>
          <cell r="B12" t="str">
            <v>Sous-chemise carton</v>
          </cell>
          <cell r="C12" t="str">
            <v>C</v>
          </cell>
          <cell r="F12">
            <v>5</v>
          </cell>
          <cell r="G12">
            <v>0</v>
          </cell>
          <cell r="H12">
            <v>95</v>
          </cell>
          <cell r="I12">
            <v>475</v>
          </cell>
          <cell r="J12">
            <v>6.5789473684210522</v>
          </cell>
          <cell r="K12" t="str">
            <v>&gt;&gt; COMMANDER</v>
          </cell>
        </row>
        <row r="13">
          <cell r="A13" t="str">
            <v>ART-010</v>
          </cell>
          <cell r="B13" t="str">
            <v>Chemise cartonnée</v>
          </cell>
          <cell r="C13" t="str">
            <v>C</v>
          </cell>
          <cell r="F13">
            <v>7</v>
          </cell>
          <cell r="G13">
            <v>0</v>
          </cell>
          <cell r="H13">
            <v>120</v>
          </cell>
          <cell r="I13">
            <v>840</v>
          </cell>
          <cell r="J13">
            <v>4.8947368421052628</v>
          </cell>
          <cell r="K13" t="str">
            <v>OK</v>
          </cell>
        </row>
        <row r="14">
          <cell r="A14" t="str">
            <v>ART-011</v>
          </cell>
          <cell r="B14" t="str">
            <v>Rouleau papier fax</v>
          </cell>
          <cell r="C14" t="str">
            <v>C</v>
          </cell>
          <cell r="F14">
            <v>3</v>
          </cell>
          <cell r="G14">
            <v>0</v>
          </cell>
          <cell r="H14">
            <v>550</v>
          </cell>
          <cell r="I14">
            <v>1650</v>
          </cell>
          <cell r="J14">
            <v>0.26315789473684209</v>
          </cell>
          <cell r="K14" t="str">
            <v>OK</v>
          </cell>
        </row>
        <row r="15">
          <cell r="A15" t="str">
            <v>ART-012</v>
          </cell>
          <cell r="B15" t="str">
            <v>Marqueur permanent noir</v>
          </cell>
          <cell r="C15" t="str">
            <v>C</v>
          </cell>
          <cell r="F15">
            <v>5</v>
          </cell>
          <cell r="G15">
            <v>0</v>
          </cell>
          <cell r="H15">
            <v>230</v>
          </cell>
          <cell r="I15">
            <v>1150</v>
          </cell>
          <cell r="J15">
            <v>1.5789473684210527</v>
          </cell>
          <cell r="K15" t="str">
            <v>OK</v>
          </cell>
        </row>
        <row r="16">
          <cell r="A16" t="str">
            <v>ART-013</v>
          </cell>
          <cell r="B16" t="str">
            <v>Encre pour cachets</v>
          </cell>
          <cell r="C16" t="str">
            <v>C</v>
          </cell>
          <cell r="F16">
            <v>3</v>
          </cell>
          <cell r="G16">
            <v>0</v>
          </cell>
          <cell r="H16">
            <v>450</v>
          </cell>
          <cell r="I16">
            <v>1350</v>
          </cell>
          <cell r="J16">
            <v>0.26315789473684209</v>
          </cell>
          <cell r="K16" t="str">
            <v>OK</v>
          </cell>
        </row>
        <row r="17">
          <cell r="A17" t="str">
            <v>ART-014</v>
          </cell>
          <cell r="B17" t="str">
            <v>Classeur à levier</v>
          </cell>
          <cell r="C17" t="str">
            <v>C</v>
          </cell>
          <cell r="F17">
            <v>2</v>
          </cell>
          <cell r="G17">
            <v>0</v>
          </cell>
          <cell r="H17">
            <v>550</v>
          </cell>
          <cell r="I17">
            <v>1100</v>
          </cell>
          <cell r="J17">
            <v>0.42105263157894735</v>
          </cell>
          <cell r="K17" t="str">
            <v>OK</v>
          </cell>
        </row>
        <row r="18">
          <cell r="A18" t="str">
            <v>ART-015</v>
          </cell>
          <cell r="B18" t="str">
            <v>Cartouche toner générique</v>
          </cell>
          <cell r="C18" t="str">
            <v>B</v>
          </cell>
          <cell r="F18">
            <v>11</v>
          </cell>
          <cell r="G18">
            <v>0</v>
          </cell>
          <cell r="H18">
            <v>4500</v>
          </cell>
          <cell r="I18">
            <v>49500</v>
          </cell>
          <cell r="J18">
            <v>1</v>
          </cell>
          <cell r="K18" t="str">
            <v>OK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DE767-690E-47EF-B732-D27614D05F39}">
  <sheetPr codeName="Sheet7"/>
  <dimension ref="B1:O17"/>
  <sheetViews>
    <sheetView rightToLeft="1" workbookViewId="0"/>
  </sheetViews>
  <sheetFormatPr defaultRowHeight="14.25"/>
  <cols>
    <col min="1" max="2" width="9" style="51"/>
    <col min="3" max="3" width="17.625" style="51" bestFit="1" customWidth="1"/>
    <col min="4" max="4" width="8.125" style="51" bestFit="1" customWidth="1"/>
    <col min="5" max="5" width="22.875" style="51" bestFit="1" customWidth="1"/>
    <col min="6" max="6" width="5.875" style="51" bestFit="1" customWidth="1"/>
    <col min="7" max="7" width="8" style="51" bestFit="1" customWidth="1"/>
    <col min="8" max="8" width="9" style="51"/>
    <col min="9" max="9" width="6.875" style="51" bestFit="1" customWidth="1"/>
    <col min="10" max="10" width="16.625" style="51" bestFit="1" customWidth="1"/>
    <col min="11" max="11" width="9" style="51"/>
    <col min="12" max="12" width="6.25" style="51" bestFit="1" customWidth="1"/>
    <col min="13" max="13" width="4.75" style="51" bestFit="1" customWidth="1"/>
    <col min="14" max="14" width="8.375" style="51" bestFit="1" customWidth="1"/>
    <col min="15" max="15" width="8.75" style="51" bestFit="1" customWidth="1"/>
    <col min="16" max="16384" width="9" style="51"/>
  </cols>
  <sheetData>
    <row r="1" spans="2:15">
      <c r="B1" s="63" t="s">
        <v>315</v>
      </c>
      <c r="L1" s="209" t="s">
        <v>311</v>
      </c>
      <c r="M1" s="210"/>
      <c r="N1" s="210"/>
      <c r="O1" s="210"/>
    </row>
    <row r="2" spans="2:15" ht="15.75">
      <c r="B2" s="52" t="s">
        <v>299</v>
      </c>
      <c r="C2" s="53">
        <v>15</v>
      </c>
      <c r="D2" s="58" t="s">
        <v>305</v>
      </c>
      <c r="E2" s="58" t="s">
        <v>306</v>
      </c>
      <c r="F2" s="58" t="s">
        <v>307</v>
      </c>
      <c r="G2" s="58" t="s">
        <v>308</v>
      </c>
      <c r="I2" s="57" t="s">
        <v>61</v>
      </c>
      <c r="J2" s="57" t="s">
        <v>310</v>
      </c>
      <c r="L2" s="60" t="s">
        <v>312</v>
      </c>
      <c r="M2" s="60" t="s">
        <v>307</v>
      </c>
      <c r="N2" s="60" t="s">
        <v>313</v>
      </c>
      <c r="O2" s="60" t="s">
        <v>314</v>
      </c>
    </row>
    <row r="3" spans="2:15" ht="15.75">
      <c r="B3" s="52" t="s">
        <v>300</v>
      </c>
      <c r="C3" s="54">
        <v>0</v>
      </c>
      <c r="D3" s="59" t="s">
        <v>46</v>
      </c>
      <c r="E3" s="59" t="s">
        <v>47</v>
      </c>
      <c r="F3" s="59">
        <v>10</v>
      </c>
      <c r="G3" s="59" t="s">
        <v>309</v>
      </c>
      <c r="I3" s="59" t="s">
        <v>4</v>
      </c>
      <c r="J3" s="59">
        <v>2</v>
      </c>
      <c r="L3" s="61" t="s">
        <v>1</v>
      </c>
      <c r="M3" s="61">
        <v>500</v>
      </c>
      <c r="N3" s="61">
        <v>3.16</v>
      </c>
      <c r="O3" s="61">
        <v>158</v>
      </c>
    </row>
    <row r="4" spans="2:15" ht="15.75">
      <c r="B4" s="52" t="s">
        <v>301</v>
      </c>
      <c r="C4" s="55">
        <v>3</v>
      </c>
      <c r="D4" s="59" t="s">
        <v>49</v>
      </c>
      <c r="E4" s="59" t="s">
        <v>50</v>
      </c>
      <c r="F4" s="59">
        <v>12</v>
      </c>
      <c r="G4" s="59" t="s">
        <v>309</v>
      </c>
      <c r="I4" s="59" t="s">
        <v>14</v>
      </c>
      <c r="J4" s="59">
        <v>6</v>
      </c>
      <c r="L4" s="61" t="s">
        <v>7</v>
      </c>
      <c r="M4" s="61">
        <v>800</v>
      </c>
      <c r="N4" s="61">
        <v>8.6300000000000008</v>
      </c>
      <c r="O4" s="61">
        <v>93</v>
      </c>
    </row>
    <row r="5" spans="2:15" ht="15.75">
      <c r="B5" s="52" t="s">
        <v>302</v>
      </c>
      <c r="C5" s="56">
        <v>4343100</v>
      </c>
      <c r="D5" s="59" t="s">
        <v>52</v>
      </c>
      <c r="E5" s="59" t="s">
        <v>53</v>
      </c>
      <c r="F5" s="59">
        <v>39</v>
      </c>
      <c r="G5" s="59" t="s">
        <v>309</v>
      </c>
      <c r="I5" s="59" t="s">
        <v>23</v>
      </c>
      <c r="J5" s="59">
        <v>7</v>
      </c>
      <c r="L5" s="61" t="s">
        <v>12</v>
      </c>
      <c r="M5" s="61">
        <v>400</v>
      </c>
      <c r="N5" s="61">
        <v>1.82</v>
      </c>
      <c r="O5" s="61">
        <v>220</v>
      </c>
    </row>
    <row r="6" spans="2:15" ht="15">
      <c r="B6" s="52" t="s">
        <v>303</v>
      </c>
      <c r="C6" s="51" t="s">
        <v>304</v>
      </c>
      <c r="L6" s="61" t="s">
        <v>16</v>
      </c>
      <c r="M6" s="61">
        <v>300</v>
      </c>
      <c r="N6" s="61">
        <v>1.58</v>
      </c>
      <c r="O6" s="61">
        <v>190</v>
      </c>
    </row>
    <row r="7" spans="2:15">
      <c r="L7" s="61" t="s">
        <v>21</v>
      </c>
      <c r="M7" s="61">
        <v>150</v>
      </c>
      <c r="N7" s="61">
        <v>0.34</v>
      </c>
      <c r="O7" s="61">
        <v>438</v>
      </c>
    </row>
    <row r="8" spans="2:15">
      <c r="L8" s="61" t="s">
        <v>25</v>
      </c>
      <c r="M8" s="61">
        <v>500</v>
      </c>
      <c r="N8" s="61">
        <v>2.68</v>
      </c>
      <c r="O8" s="61">
        <v>186</v>
      </c>
    </row>
    <row r="9" spans="2:15">
      <c r="L9" s="61" t="s">
        <v>28</v>
      </c>
      <c r="M9" s="61">
        <v>200</v>
      </c>
      <c r="N9" s="61">
        <v>0.57999999999999996</v>
      </c>
      <c r="O9" s="61">
        <v>345</v>
      </c>
    </row>
    <row r="10" spans="2:15">
      <c r="L10" s="61" t="s">
        <v>31</v>
      </c>
      <c r="M10" s="61">
        <v>100</v>
      </c>
      <c r="N10" s="61">
        <v>0.21</v>
      </c>
      <c r="O10" s="61">
        <v>475</v>
      </c>
    </row>
    <row r="11" spans="2:15">
      <c r="L11" s="61" t="s">
        <v>34</v>
      </c>
      <c r="M11" s="61">
        <v>600</v>
      </c>
      <c r="N11" s="61">
        <v>3.29</v>
      </c>
      <c r="O11" s="61">
        <v>182</v>
      </c>
    </row>
    <row r="12" spans="2:15">
      <c r="L12" s="61" t="s">
        <v>37</v>
      </c>
      <c r="M12" s="61">
        <v>450</v>
      </c>
      <c r="N12" s="61">
        <v>2.4500000000000002</v>
      </c>
      <c r="O12" s="61">
        <v>184</v>
      </c>
    </row>
    <row r="13" spans="2:15">
      <c r="L13" s="61" t="s">
        <v>40</v>
      </c>
      <c r="M13" s="61">
        <v>80</v>
      </c>
      <c r="N13" s="61">
        <v>0.13</v>
      </c>
      <c r="O13" s="61">
        <v>608</v>
      </c>
    </row>
    <row r="14" spans="2:15">
      <c r="L14" s="61" t="s">
        <v>43</v>
      </c>
      <c r="M14" s="61">
        <v>350</v>
      </c>
      <c r="N14" s="61">
        <v>0.79</v>
      </c>
      <c r="O14" s="61">
        <v>443</v>
      </c>
    </row>
    <row r="15" spans="2:15">
      <c r="L15" s="61" t="s">
        <v>46</v>
      </c>
      <c r="M15" s="61">
        <v>10</v>
      </c>
      <c r="N15" s="61">
        <v>0.13</v>
      </c>
      <c r="O15" s="61">
        <v>76</v>
      </c>
    </row>
    <row r="16" spans="2:15">
      <c r="L16" s="62" t="s">
        <v>49</v>
      </c>
      <c r="M16" s="62">
        <v>12</v>
      </c>
      <c r="N16" s="62">
        <v>0.21</v>
      </c>
      <c r="O16" s="62">
        <v>57</v>
      </c>
    </row>
    <row r="17" spans="12:15">
      <c r="L17" s="61" t="s">
        <v>52</v>
      </c>
      <c r="M17" s="61">
        <v>39</v>
      </c>
      <c r="N17" s="61">
        <v>0.5</v>
      </c>
      <c r="O17" s="61">
        <v>78</v>
      </c>
    </row>
  </sheetData>
  <mergeCells count="1">
    <mergeCell ref="L1:O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950F0-4079-4437-9F1F-86B671C0A60B}">
  <sheetPr codeName="Sheet2"/>
  <dimension ref="A1:C29"/>
  <sheetViews>
    <sheetView rightToLeft="1" workbookViewId="0">
      <selection activeCell="I13" sqref="I13"/>
    </sheetView>
  </sheetViews>
  <sheetFormatPr defaultRowHeight="14.25"/>
  <sheetData>
    <row r="1" spans="1:3" ht="20.25">
      <c r="A1" s="215" t="s">
        <v>253</v>
      </c>
      <c r="B1" s="216"/>
      <c r="C1" s="216"/>
    </row>
    <row r="2" spans="1:3">
      <c r="A2" s="217" t="s">
        <v>254</v>
      </c>
      <c r="B2" s="216"/>
      <c r="C2" s="216"/>
    </row>
    <row r="4" spans="1:3">
      <c r="A4" s="31" t="s">
        <v>255</v>
      </c>
      <c r="B4" s="32" t="s">
        <v>256</v>
      </c>
    </row>
    <row r="5" spans="1:3">
      <c r="A5" s="31" t="s">
        <v>257</v>
      </c>
      <c r="B5" s="32" t="s">
        <v>258</v>
      </c>
    </row>
    <row r="6" spans="1:3">
      <c r="A6" s="31" t="s">
        <v>259</v>
      </c>
      <c r="B6" s="32" t="s">
        <v>260</v>
      </c>
    </row>
    <row r="7" spans="1:3">
      <c r="A7" s="31" t="s">
        <v>261</v>
      </c>
      <c r="B7" s="32" t="s">
        <v>262</v>
      </c>
    </row>
    <row r="8" spans="1:3">
      <c r="A8" s="31" t="s">
        <v>263</v>
      </c>
      <c r="B8" s="33" t="s">
        <v>264</v>
      </c>
    </row>
    <row r="9" spans="1:3">
      <c r="A9" s="31" t="s">
        <v>265</v>
      </c>
      <c r="B9" s="33" t="s">
        <v>266</v>
      </c>
    </row>
    <row r="11" spans="1:3" ht="15">
      <c r="A11" s="218" t="s">
        <v>267</v>
      </c>
      <c r="B11" s="216"/>
      <c r="C11" s="216"/>
    </row>
    <row r="12" spans="1:3" ht="15">
      <c r="A12" s="34" t="s">
        <v>268</v>
      </c>
      <c r="B12" s="35">
        <f>IFERROR(SUMPRODUCT('[1]TABLEAU DE BORD'!$F$4:$F$18,'[1]TABLEAU DE BORD'!$H$4:$H$18),0)</f>
        <v>362185</v>
      </c>
      <c r="C12" s="36" t="s">
        <v>269</v>
      </c>
    </row>
    <row r="13" spans="1:3" ht="18.75">
      <c r="A13" s="37" t="s">
        <v>270</v>
      </c>
      <c r="B13" s="38" t="e">
        <f>COUNTIF('[1]TABLEAU DE BORD'!$K$4:$K$18,"!! RUPTURE")</f>
        <v>#VALUE!</v>
      </c>
      <c r="C13" s="39" t="s">
        <v>271</v>
      </c>
    </row>
    <row r="14" spans="1:3" ht="18.75">
      <c r="A14" s="40" t="s">
        <v>272</v>
      </c>
      <c r="B14" s="41" t="e">
        <f>COUNTIF('[1]TABLEAU DE BORD'!$K$4:$K$18,"&gt;&gt; COMMANDER")</f>
        <v>#VALUE!</v>
      </c>
      <c r="C14" s="36" t="s">
        <v>273</v>
      </c>
    </row>
    <row r="15" spans="1:3" ht="18.75">
      <c r="A15" s="42" t="s">
        <v>274</v>
      </c>
      <c r="B15" s="43" t="e">
        <f>COUNTIF('[1]TABLEAU DE BORD'!$K$4:$K$18,"~ ALERTE")</f>
        <v>#VALUE!</v>
      </c>
      <c r="C15" s="36" t="s">
        <v>275</v>
      </c>
    </row>
    <row r="17" spans="1:3">
      <c r="A17" s="219" t="s">
        <v>276</v>
      </c>
      <c r="B17" s="216"/>
      <c r="C17" s="216"/>
    </row>
    <row r="18" spans="1:3">
      <c r="A18" s="44" t="s">
        <v>277</v>
      </c>
      <c r="B18" s="211" t="s">
        <v>278</v>
      </c>
      <c r="C18" s="212"/>
    </row>
    <row r="19" spans="1:3">
      <c r="A19" s="44" t="s">
        <v>279</v>
      </c>
      <c r="B19" s="211" t="s">
        <v>280</v>
      </c>
      <c r="C19" s="212"/>
    </row>
    <row r="20" spans="1:3">
      <c r="A20" s="44" t="s">
        <v>281</v>
      </c>
      <c r="B20" s="211" t="s">
        <v>282</v>
      </c>
      <c r="C20" s="212"/>
    </row>
    <row r="21" spans="1:3">
      <c r="A21" s="44" t="s">
        <v>283</v>
      </c>
      <c r="B21" s="211" t="s">
        <v>284</v>
      </c>
      <c r="C21" s="212"/>
    </row>
    <row r="22" spans="1:3">
      <c r="A22" s="45" t="s">
        <v>285</v>
      </c>
      <c r="B22" s="213" t="s">
        <v>286</v>
      </c>
      <c r="C22" s="214"/>
    </row>
    <row r="23" spans="1:3">
      <c r="A23" s="45" t="s">
        <v>287</v>
      </c>
      <c r="B23" s="213" t="s">
        <v>288</v>
      </c>
      <c r="C23" s="214"/>
    </row>
    <row r="24" spans="1:3">
      <c r="A24" s="45" t="s">
        <v>289</v>
      </c>
      <c r="B24" s="213" t="s">
        <v>290</v>
      </c>
      <c r="C24" s="214"/>
    </row>
    <row r="26" spans="1:3">
      <c r="A26" s="46" t="s">
        <v>291</v>
      </c>
    </row>
    <row r="27" spans="1:3">
      <c r="A27" s="47" t="s">
        <v>292</v>
      </c>
      <c r="B27" s="48" t="s">
        <v>293</v>
      </c>
      <c r="C27" s="49" t="s">
        <v>294</v>
      </c>
    </row>
    <row r="28" spans="1:3">
      <c r="A28" s="47" t="s">
        <v>295</v>
      </c>
      <c r="B28" s="48" t="s">
        <v>296</v>
      </c>
      <c r="C28" s="49" t="s">
        <v>297</v>
      </c>
    </row>
    <row r="29" spans="1:3">
      <c r="A29" s="50" t="s">
        <v>298</v>
      </c>
    </row>
  </sheetData>
  <mergeCells count="11">
    <mergeCell ref="B19:C19"/>
    <mergeCell ref="A1:C1"/>
    <mergeCell ref="A2:C2"/>
    <mergeCell ref="A11:C11"/>
    <mergeCell ref="A17:C17"/>
    <mergeCell ref="B18:C18"/>
    <mergeCell ref="B20:C20"/>
    <mergeCell ref="B21:C21"/>
    <mergeCell ref="B22:C22"/>
    <mergeCell ref="B23:C23"/>
    <mergeCell ref="B24:C2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1CB8-21F6-420D-9001-0169ED6DC45B}">
  <sheetPr codeName="Sheet3"/>
  <dimension ref="A1:M80"/>
  <sheetViews>
    <sheetView rightToLeft="1" workbookViewId="0">
      <selection sqref="A1:M80"/>
    </sheetView>
  </sheetViews>
  <sheetFormatPr defaultRowHeight="14.25"/>
  <sheetData>
    <row r="1" spans="1:13" ht="16.5" thickBot="1">
      <c r="A1" s="220" t="s">
        <v>154</v>
      </c>
      <c r="B1" s="221"/>
      <c r="C1" s="221"/>
      <c r="D1" s="221"/>
      <c r="E1" s="221"/>
      <c r="F1" s="221"/>
      <c r="G1" s="222"/>
      <c r="H1" s="223"/>
      <c r="I1" s="224"/>
      <c r="J1" s="221"/>
      <c r="K1" s="225"/>
      <c r="L1" s="225"/>
      <c r="M1" s="225"/>
    </row>
    <row r="2" spans="1:13" ht="45.75" thickBot="1">
      <c r="A2" s="20" t="s">
        <v>155</v>
      </c>
      <c r="B2" s="21" t="s">
        <v>156</v>
      </c>
      <c r="C2" s="22" t="s">
        <v>157</v>
      </c>
      <c r="D2" s="23" t="s">
        <v>158</v>
      </c>
      <c r="E2" s="24" t="s">
        <v>159</v>
      </c>
      <c r="F2" s="20" t="s">
        <v>160</v>
      </c>
      <c r="G2" s="20" t="s">
        <v>161</v>
      </c>
      <c r="H2" s="25" t="s">
        <v>162</v>
      </c>
      <c r="I2" s="26" t="s">
        <v>163</v>
      </c>
      <c r="J2" s="27" t="s">
        <v>164</v>
      </c>
      <c r="K2" s="28" t="s">
        <v>165</v>
      </c>
      <c r="L2" s="21" t="s">
        <v>166</v>
      </c>
      <c r="M2" s="29" t="s">
        <v>167</v>
      </c>
    </row>
    <row r="3" spans="1:13">
      <c r="A3" s="30">
        <v>46083</v>
      </c>
      <c r="B3" t="s">
        <v>7</v>
      </c>
      <c r="D3" t="s">
        <v>168</v>
      </c>
      <c r="E3">
        <v>30</v>
      </c>
      <c r="F3">
        <v>25500</v>
      </c>
      <c r="G3" t="s">
        <v>169</v>
      </c>
      <c r="H3">
        <v>850</v>
      </c>
      <c r="I3" t="s">
        <v>170</v>
      </c>
    </row>
    <row r="4" spans="1:13">
      <c r="A4" s="30">
        <v>46084</v>
      </c>
      <c r="B4" t="s">
        <v>1</v>
      </c>
      <c r="D4" t="s">
        <v>168</v>
      </c>
      <c r="E4">
        <v>15</v>
      </c>
      <c r="F4">
        <v>67500</v>
      </c>
      <c r="G4" t="s">
        <v>171</v>
      </c>
      <c r="H4">
        <v>4500</v>
      </c>
      <c r="I4" t="s">
        <v>172</v>
      </c>
    </row>
    <row r="5" spans="1:13">
      <c r="A5" s="30">
        <v>46084</v>
      </c>
      <c r="B5" t="s">
        <v>25</v>
      </c>
      <c r="D5" t="s">
        <v>168</v>
      </c>
      <c r="E5">
        <v>15</v>
      </c>
      <c r="F5">
        <v>6300</v>
      </c>
      <c r="G5" t="s">
        <v>173</v>
      </c>
      <c r="H5">
        <v>420</v>
      </c>
      <c r="I5" t="s">
        <v>172</v>
      </c>
    </row>
    <row r="6" spans="1:13">
      <c r="A6" s="30">
        <v>46084</v>
      </c>
      <c r="B6" t="s">
        <v>28</v>
      </c>
      <c r="D6" t="s">
        <v>174</v>
      </c>
      <c r="E6">
        <v>25</v>
      </c>
      <c r="F6">
        <v>17000</v>
      </c>
      <c r="G6" t="s">
        <v>175</v>
      </c>
      <c r="H6">
        <v>680</v>
      </c>
      <c r="I6" t="s">
        <v>19</v>
      </c>
    </row>
    <row r="7" spans="1:13">
      <c r="A7" s="30">
        <v>46084</v>
      </c>
      <c r="B7" t="s">
        <v>40</v>
      </c>
      <c r="D7" t="s">
        <v>174</v>
      </c>
      <c r="E7">
        <v>8</v>
      </c>
      <c r="F7">
        <v>4400</v>
      </c>
      <c r="G7" t="s">
        <v>176</v>
      </c>
      <c r="H7">
        <v>550</v>
      </c>
      <c r="I7" t="s">
        <v>5</v>
      </c>
    </row>
    <row r="8" spans="1:13">
      <c r="A8" s="30">
        <v>46084</v>
      </c>
      <c r="B8" t="s">
        <v>43</v>
      </c>
      <c r="D8" t="s">
        <v>174</v>
      </c>
      <c r="E8">
        <v>35</v>
      </c>
      <c r="F8">
        <v>8050</v>
      </c>
      <c r="G8" t="s">
        <v>177</v>
      </c>
      <c r="H8">
        <v>230</v>
      </c>
      <c r="I8" t="s">
        <v>19</v>
      </c>
    </row>
    <row r="9" spans="1:13">
      <c r="A9" s="30">
        <v>46084</v>
      </c>
      <c r="B9" t="s">
        <v>46</v>
      </c>
      <c r="D9" t="s">
        <v>174</v>
      </c>
      <c r="E9">
        <v>8</v>
      </c>
      <c r="F9">
        <v>3600</v>
      </c>
      <c r="G9" t="s">
        <v>178</v>
      </c>
      <c r="H9">
        <v>450</v>
      </c>
      <c r="I9" t="s">
        <v>5</v>
      </c>
    </row>
    <row r="10" spans="1:13">
      <c r="A10" s="30">
        <v>46084</v>
      </c>
      <c r="B10" t="s">
        <v>49</v>
      </c>
      <c r="D10" t="s">
        <v>174</v>
      </c>
      <c r="E10">
        <v>10</v>
      </c>
      <c r="F10">
        <v>5500</v>
      </c>
      <c r="G10" t="s">
        <v>179</v>
      </c>
      <c r="H10">
        <v>550</v>
      </c>
      <c r="I10" t="s">
        <v>19</v>
      </c>
    </row>
    <row r="11" spans="1:13">
      <c r="A11" s="30">
        <v>46085</v>
      </c>
      <c r="B11" t="s">
        <v>12</v>
      </c>
      <c r="D11" t="s">
        <v>168</v>
      </c>
      <c r="E11">
        <v>12</v>
      </c>
      <c r="F11">
        <v>14400</v>
      </c>
      <c r="G11" t="s">
        <v>180</v>
      </c>
      <c r="H11">
        <v>1200</v>
      </c>
      <c r="I11" t="s">
        <v>181</v>
      </c>
    </row>
    <row r="12" spans="1:13">
      <c r="A12" s="30">
        <v>46085</v>
      </c>
      <c r="B12" t="s">
        <v>21</v>
      </c>
      <c r="D12" t="s">
        <v>174</v>
      </c>
      <c r="E12">
        <v>15</v>
      </c>
      <c r="F12">
        <v>4200</v>
      </c>
      <c r="G12" t="s">
        <v>182</v>
      </c>
      <c r="H12">
        <v>280</v>
      </c>
      <c r="I12" t="s">
        <v>19</v>
      </c>
    </row>
    <row r="13" spans="1:13">
      <c r="A13" s="30">
        <v>46085</v>
      </c>
      <c r="B13" t="s">
        <v>31</v>
      </c>
      <c r="D13" t="s">
        <v>174</v>
      </c>
      <c r="E13">
        <v>10</v>
      </c>
      <c r="F13">
        <v>1800</v>
      </c>
      <c r="G13" t="s">
        <v>183</v>
      </c>
      <c r="H13">
        <v>180</v>
      </c>
      <c r="I13" t="s">
        <v>5</v>
      </c>
    </row>
    <row r="14" spans="1:13">
      <c r="A14" s="30">
        <v>46086</v>
      </c>
      <c r="B14" t="s">
        <v>7</v>
      </c>
      <c r="D14" t="s">
        <v>168</v>
      </c>
      <c r="E14">
        <v>25</v>
      </c>
      <c r="F14">
        <v>21250</v>
      </c>
      <c r="G14" t="s">
        <v>184</v>
      </c>
      <c r="H14">
        <v>850</v>
      </c>
      <c r="I14" t="s">
        <v>185</v>
      </c>
    </row>
    <row r="15" spans="1:13">
      <c r="A15" s="30">
        <v>46086</v>
      </c>
      <c r="B15" t="s">
        <v>25</v>
      </c>
      <c r="D15" t="s">
        <v>174</v>
      </c>
      <c r="E15">
        <v>55</v>
      </c>
      <c r="F15">
        <v>23100</v>
      </c>
      <c r="G15" t="s">
        <v>186</v>
      </c>
      <c r="H15">
        <v>420</v>
      </c>
      <c r="I15" t="s">
        <v>10</v>
      </c>
    </row>
    <row r="16" spans="1:13">
      <c r="A16" s="30">
        <v>46086</v>
      </c>
      <c r="B16" t="s">
        <v>34</v>
      </c>
      <c r="D16" t="s">
        <v>168</v>
      </c>
      <c r="E16">
        <v>25</v>
      </c>
      <c r="F16">
        <v>2375</v>
      </c>
      <c r="G16" t="s">
        <v>187</v>
      </c>
      <c r="H16">
        <v>95</v>
      </c>
      <c r="I16" t="s">
        <v>181</v>
      </c>
    </row>
    <row r="17" spans="1:9">
      <c r="A17" s="30">
        <v>46087</v>
      </c>
      <c r="B17" t="s">
        <v>16</v>
      </c>
      <c r="D17" t="s">
        <v>168</v>
      </c>
      <c r="E17">
        <v>20</v>
      </c>
      <c r="F17">
        <v>7000</v>
      </c>
      <c r="G17" t="s">
        <v>188</v>
      </c>
      <c r="H17">
        <v>350</v>
      </c>
      <c r="I17" t="s">
        <v>172</v>
      </c>
    </row>
    <row r="18" spans="1:9">
      <c r="A18" s="30">
        <v>46087</v>
      </c>
      <c r="B18" t="s">
        <v>34</v>
      </c>
      <c r="D18" t="s">
        <v>174</v>
      </c>
      <c r="E18">
        <v>65</v>
      </c>
      <c r="F18">
        <v>6175</v>
      </c>
      <c r="G18" t="s">
        <v>189</v>
      </c>
      <c r="H18">
        <v>95</v>
      </c>
      <c r="I18" t="s">
        <v>10</v>
      </c>
    </row>
    <row r="19" spans="1:9">
      <c r="A19" s="30">
        <v>46087</v>
      </c>
      <c r="B19" t="s">
        <v>46</v>
      </c>
      <c r="D19" t="s">
        <v>168</v>
      </c>
      <c r="E19">
        <v>2</v>
      </c>
      <c r="F19">
        <v>900</v>
      </c>
      <c r="G19" t="s">
        <v>190</v>
      </c>
      <c r="H19">
        <v>450</v>
      </c>
      <c r="I19" t="s">
        <v>172</v>
      </c>
    </row>
    <row r="20" spans="1:9">
      <c r="A20" s="30">
        <v>46088</v>
      </c>
      <c r="B20" t="s">
        <v>1</v>
      </c>
      <c r="D20" t="s">
        <v>168</v>
      </c>
      <c r="E20">
        <v>20</v>
      </c>
      <c r="F20">
        <v>90000</v>
      </c>
      <c r="G20" t="s">
        <v>191</v>
      </c>
      <c r="H20">
        <v>4500</v>
      </c>
      <c r="I20" t="s">
        <v>172</v>
      </c>
    </row>
    <row r="21" spans="1:9">
      <c r="A21" s="30">
        <v>46088</v>
      </c>
      <c r="B21" t="s">
        <v>37</v>
      </c>
      <c r="D21" t="s">
        <v>168</v>
      </c>
      <c r="E21">
        <v>18</v>
      </c>
      <c r="F21">
        <v>2160</v>
      </c>
      <c r="G21" t="s">
        <v>192</v>
      </c>
      <c r="H21">
        <v>120</v>
      </c>
      <c r="I21" t="s">
        <v>185</v>
      </c>
    </row>
    <row r="22" spans="1:9">
      <c r="A22" s="30">
        <v>46089</v>
      </c>
      <c r="B22" t="s">
        <v>7</v>
      </c>
      <c r="D22" t="s">
        <v>168</v>
      </c>
      <c r="E22">
        <v>35</v>
      </c>
      <c r="F22">
        <v>29750</v>
      </c>
      <c r="G22" t="s">
        <v>193</v>
      </c>
      <c r="H22">
        <v>850</v>
      </c>
      <c r="I22" t="s">
        <v>181</v>
      </c>
    </row>
    <row r="23" spans="1:9">
      <c r="A23" s="30">
        <v>46089</v>
      </c>
      <c r="B23" t="s">
        <v>7</v>
      </c>
      <c r="D23" t="s">
        <v>174</v>
      </c>
      <c r="E23">
        <v>150</v>
      </c>
      <c r="F23">
        <v>127500</v>
      </c>
      <c r="G23" t="s">
        <v>194</v>
      </c>
      <c r="H23">
        <v>850</v>
      </c>
      <c r="I23" t="s">
        <v>10</v>
      </c>
    </row>
    <row r="24" spans="1:9">
      <c r="A24" s="30">
        <v>46089</v>
      </c>
      <c r="B24" t="s">
        <v>28</v>
      </c>
      <c r="D24" t="s">
        <v>168</v>
      </c>
      <c r="E24">
        <v>10</v>
      </c>
      <c r="F24">
        <v>6800</v>
      </c>
      <c r="G24" t="s">
        <v>195</v>
      </c>
      <c r="H24">
        <v>680</v>
      </c>
      <c r="I24" t="s">
        <v>170</v>
      </c>
    </row>
    <row r="25" spans="1:9">
      <c r="A25" s="30">
        <v>46090</v>
      </c>
      <c r="B25" t="s">
        <v>25</v>
      </c>
      <c r="D25" t="s">
        <v>168</v>
      </c>
      <c r="E25">
        <v>18</v>
      </c>
      <c r="F25">
        <v>7560</v>
      </c>
      <c r="G25" t="s">
        <v>196</v>
      </c>
      <c r="H25">
        <v>420</v>
      </c>
      <c r="I25" t="s">
        <v>181</v>
      </c>
    </row>
    <row r="26" spans="1:9">
      <c r="A26" s="30">
        <v>46090</v>
      </c>
      <c r="B26" t="s">
        <v>43</v>
      </c>
      <c r="D26" t="s">
        <v>168</v>
      </c>
      <c r="E26">
        <v>8</v>
      </c>
      <c r="F26">
        <v>1840</v>
      </c>
      <c r="G26" t="s">
        <v>197</v>
      </c>
      <c r="H26">
        <v>230</v>
      </c>
      <c r="I26" t="s">
        <v>198</v>
      </c>
    </row>
    <row r="27" spans="1:9">
      <c r="A27" s="30">
        <v>46091</v>
      </c>
      <c r="B27" t="s">
        <v>1</v>
      </c>
      <c r="D27" t="s">
        <v>174</v>
      </c>
      <c r="E27">
        <v>80</v>
      </c>
      <c r="F27">
        <v>360000</v>
      </c>
      <c r="G27" t="s">
        <v>199</v>
      </c>
      <c r="H27">
        <v>4500</v>
      </c>
      <c r="I27" t="s">
        <v>5</v>
      </c>
    </row>
    <row r="28" spans="1:9">
      <c r="A28" s="30">
        <v>46091</v>
      </c>
      <c r="B28" t="s">
        <v>12</v>
      </c>
      <c r="D28" t="s">
        <v>168</v>
      </c>
      <c r="E28">
        <v>15</v>
      </c>
      <c r="F28">
        <v>18000</v>
      </c>
      <c r="G28" t="s">
        <v>200</v>
      </c>
      <c r="H28">
        <v>1200</v>
      </c>
      <c r="I28" t="s">
        <v>172</v>
      </c>
    </row>
    <row r="29" spans="1:9">
      <c r="A29" s="30">
        <v>46091</v>
      </c>
      <c r="B29" t="s">
        <v>40</v>
      </c>
      <c r="D29" t="s">
        <v>168</v>
      </c>
      <c r="E29">
        <v>2</v>
      </c>
      <c r="F29">
        <v>1100</v>
      </c>
      <c r="G29" t="s">
        <v>201</v>
      </c>
      <c r="H29">
        <v>550</v>
      </c>
      <c r="I29" t="s">
        <v>181</v>
      </c>
    </row>
    <row r="30" spans="1:9">
      <c r="A30" s="30">
        <v>46091</v>
      </c>
      <c r="B30" t="s">
        <v>52</v>
      </c>
      <c r="D30" t="s">
        <v>168</v>
      </c>
      <c r="E30">
        <v>5</v>
      </c>
      <c r="F30">
        <v>22500</v>
      </c>
      <c r="G30" t="s">
        <v>202</v>
      </c>
      <c r="H30">
        <v>4500</v>
      </c>
      <c r="I30" t="s">
        <v>172</v>
      </c>
    </row>
    <row r="31" spans="1:9">
      <c r="A31" s="30">
        <v>46092</v>
      </c>
      <c r="B31" t="s">
        <v>21</v>
      </c>
      <c r="D31" t="s">
        <v>168</v>
      </c>
      <c r="E31">
        <v>5</v>
      </c>
      <c r="F31">
        <v>1400</v>
      </c>
      <c r="G31" t="s">
        <v>203</v>
      </c>
      <c r="H31">
        <v>280</v>
      </c>
      <c r="I31" t="s">
        <v>198</v>
      </c>
    </row>
    <row r="32" spans="1:9">
      <c r="A32" s="30">
        <v>46093</v>
      </c>
      <c r="B32" t="s">
        <v>1</v>
      </c>
      <c r="D32" t="s">
        <v>168</v>
      </c>
      <c r="E32">
        <v>18</v>
      </c>
      <c r="F32">
        <v>81000</v>
      </c>
      <c r="G32" t="s">
        <v>204</v>
      </c>
      <c r="H32">
        <v>4500</v>
      </c>
      <c r="I32" t="s">
        <v>185</v>
      </c>
    </row>
    <row r="33" spans="1:9">
      <c r="A33" s="30">
        <v>46093</v>
      </c>
      <c r="B33" t="s">
        <v>7</v>
      </c>
      <c r="D33" t="s">
        <v>168</v>
      </c>
      <c r="E33">
        <v>28</v>
      </c>
      <c r="F33">
        <v>23800</v>
      </c>
      <c r="G33" t="s">
        <v>205</v>
      </c>
      <c r="H33">
        <v>850</v>
      </c>
      <c r="I33" t="s">
        <v>181</v>
      </c>
    </row>
    <row r="34" spans="1:9">
      <c r="A34" s="30">
        <v>46093</v>
      </c>
      <c r="B34" t="s">
        <v>34</v>
      </c>
      <c r="D34" t="s">
        <v>168</v>
      </c>
      <c r="E34">
        <v>30</v>
      </c>
      <c r="F34">
        <v>2850</v>
      </c>
      <c r="G34" t="s">
        <v>206</v>
      </c>
      <c r="H34">
        <v>95</v>
      </c>
      <c r="I34" t="s">
        <v>198</v>
      </c>
    </row>
    <row r="35" spans="1:9">
      <c r="A35" s="30">
        <v>46093</v>
      </c>
      <c r="B35" t="s">
        <v>49</v>
      </c>
      <c r="D35" t="s">
        <v>168</v>
      </c>
      <c r="E35">
        <v>3</v>
      </c>
      <c r="F35">
        <v>1650</v>
      </c>
      <c r="G35" t="s">
        <v>207</v>
      </c>
      <c r="H35">
        <v>550</v>
      </c>
      <c r="I35" t="s">
        <v>170</v>
      </c>
    </row>
    <row r="36" spans="1:9">
      <c r="A36" s="30">
        <v>46095</v>
      </c>
      <c r="B36" t="s">
        <v>12</v>
      </c>
      <c r="D36" t="s">
        <v>174</v>
      </c>
      <c r="E36">
        <v>80</v>
      </c>
      <c r="F36">
        <v>96000</v>
      </c>
      <c r="G36" t="s">
        <v>208</v>
      </c>
      <c r="H36">
        <v>1200</v>
      </c>
      <c r="I36" t="s">
        <v>10</v>
      </c>
    </row>
    <row r="37" spans="1:9">
      <c r="A37" s="30">
        <v>46095</v>
      </c>
      <c r="B37" t="s">
        <v>25</v>
      </c>
      <c r="D37" t="s">
        <v>168</v>
      </c>
      <c r="E37">
        <v>20</v>
      </c>
      <c r="F37">
        <v>8400</v>
      </c>
      <c r="G37" t="s">
        <v>209</v>
      </c>
      <c r="H37">
        <v>420</v>
      </c>
      <c r="I37" t="s">
        <v>170</v>
      </c>
    </row>
    <row r="38" spans="1:9">
      <c r="A38" s="30">
        <v>46095</v>
      </c>
      <c r="B38" t="s">
        <v>37</v>
      </c>
      <c r="D38" t="s">
        <v>168</v>
      </c>
      <c r="E38">
        <v>22</v>
      </c>
      <c r="F38">
        <v>2640</v>
      </c>
      <c r="G38" t="s">
        <v>210</v>
      </c>
      <c r="H38">
        <v>120</v>
      </c>
      <c r="I38" t="s">
        <v>198</v>
      </c>
    </row>
    <row r="39" spans="1:9">
      <c r="A39" s="30">
        <v>46096</v>
      </c>
      <c r="B39" t="s">
        <v>7</v>
      </c>
      <c r="D39" t="s">
        <v>168</v>
      </c>
      <c r="E39">
        <v>30</v>
      </c>
      <c r="F39">
        <v>25500</v>
      </c>
      <c r="G39" t="s">
        <v>211</v>
      </c>
      <c r="H39">
        <v>850</v>
      </c>
      <c r="I39" t="s">
        <v>198</v>
      </c>
    </row>
    <row r="40" spans="1:9">
      <c r="A40" s="30">
        <v>46096</v>
      </c>
      <c r="B40" t="s">
        <v>25</v>
      </c>
      <c r="D40" t="s">
        <v>174</v>
      </c>
      <c r="E40">
        <v>50</v>
      </c>
      <c r="F40">
        <v>21000</v>
      </c>
      <c r="G40" t="s">
        <v>212</v>
      </c>
      <c r="H40">
        <v>420</v>
      </c>
      <c r="I40" t="s">
        <v>10</v>
      </c>
    </row>
    <row r="41" spans="1:9">
      <c r="A41" s="30">
        <v>46096</v>
      </c>
      <c r="B41" t="s">
        <v>31</v>
      </c>
      <c r="D41" t="s">
        <v>168</v>
      </c>
      <c r="E41">
        <v>3</v>
      </c>
      <c r="F41">
        <v>540</v>
      </c>
      <c r="G41" t="s">
        <v>213</v>
      </c>
      <c r="H41">
        <v>180</v>
      </c>
      <c r="I41" t="s">
        <v>172</v>
      </c>
    </row>
    <row r="42" spans="1:9">
      <c r="A42" s="30">
        <v>46097</v>
      </c>
      <c r="B42" t="s">
        <v>16</v>
      </c>
      <c r="D42" t="s">
        <v>168</v>
      </c>
      <c r="E42">
        <v>15</v>
      </c>
      <c r="F42">
        <v>5250</v>
      </c>
      <c r="G42" t="s">
        <v>214</v>
      </c>
      <c r="H42">
        <v>350</v>
      </c>
      <c r="I42" t="s">
        <v>185</v>
      </c>
    </row>
    <row r="43" spans="1:9">
      <c r="A43" s="30">
        <v>46098</v>
      </c>
      <c r="B43" t="s">
        <v>12</v>
      </c>
      <c r="D43" t="s">
        <v>168</v>
      </c>
      <c r="E43">
        <v>10</v>
      </c>
      <c r="F43">
        <v>12000</v>
      </c>
      <c r="G43" t="s">
        <v>215</v>
      </c>
      <c r="H43">
        <v>1200</v>
      </c>
      <c r="I43" t="s">
        <v>198</v>
      </c>
    </row>
    <row r="44" spans="1:9">
      <c r="A44" s="30">
        <v>46099</v>
      </c>
      <c r="B44" t="s">
        <v>1</v>
      </c>
      <c r="D44" t="s">
        <v>168</v>
      </c>
      <c r="E44">
        <v>22</v>
      </c>
      <c r="F44">
        <v>99000</v>
      </c>
      <c r="G44" t="s">
        <v>216</v>
      </c>
      <c r="H44">
        <v>4500</v>
      </c>
      <c r="I44" t="s">
        <v>198</v>
      </c>
    </row>
    <row r="45" spans="1:9">
      <c r="A45" s="30">
        <v>46099</v>
      </c>
      <c r="B45" t="s">
        <v>7</v>
      </c>
      <c r="D45" t="s">
        <v>168</v>
      </c>
      <c r="E45">
        <v>32</v>
      </c>
      <c r="F45">
        <v>27200</v>
      </c>
      <c r="G45" t="s">
        <v>217</v>
      </c>
      <c r="H45">
        <v>850</v>
      </c>
      <c r="I45" t="s">
        <v>185</v>
      </c>
    </row>
    <row r="46" spans="1:9">
      <c r="A46" s="30">
        <v>46099</v>
      </c>
      <c r="B46" t="s">
        <v>34</v>
      </c>
      <c r="D46" t="s">
        <v>174</v>
      </c>
      <c r="E46">
        <v>65</v>
      </c>
      <c r="F46">
        <v>6175</v>
      </c>
      <c r="G46" t="s">
        <v>218</v>
      </c>
      <c r="H46">
        <v>95</v>
      </c>
      <c r="I46" t="s">
        <v>10</v>
      </c>
    </row>
    <row r="47" spans="1:9">
      <c r="A47" s="30">
        <v>46099</v>
      </c>
      <c r="B47" t="s">
        <v>43</v>
      </c>
      <c r="D47" t="s">
        <v>168</v>
      </c>
      <c r="E47">
        <v>12</v>
      </c>
      <c r="F47">
        <v>2760</v>
      </c>
      <c r="G47" t="s">
        <v>219</v>
      </c>
      <c r="H47">
        <v>230</v>
      </c>
      <c r="I47" t="s">
        <v>181</v>
      </c>
    </row>
    <row r="48" spans="1:9">
      <c r="A48" s="30">
        <v>46099</v>
      </c>
      <c r="B48" t="s">
        <v>52</v>
      </c>
      <c r="D48" t="s">
        <v>174</v>
      </c>
      <c r="E48">
        <v>30</v>
      </c>
      <c r="F48">
        <v>135000</v>
      </c>
      <c r="G48" t="s">
        <v>220</v>
      </c>
      <c r="H48">
        <v>4500</v>
      </c>
      <c r="I48" t="s">
        <v>5</v>
      </c>
    </row>
    <row r="49" spans="1:9">
      <c r="A49" s="30">
        <v>46100</v>
      </c>
      <c r="B49" t="s">
        <v>34</v>
      </c>
      <c r="D49" t="s">
        <v>168</v>
      </c>
      <c r="E49">
        <v>20</v>
      </c>
      <c r="F49">
        <v>1900</v>
      </c>
      <c r="G49" t="s">
        <v>221</v>
      </c>
      <c r="H49">
        <v>95</v>
      </c>
      <c r="I49" t="s">
        <v>185</v>
      </c>
    </row>
    <row r="50" spans="1:9">
      <c r="A50" s="30">
        <v>46101</v>
      </c>
      <c r="B50" t="s">
        <v>16</v>
      </c>
      <c r="D50" t="s">
        <v>174</v>
      </c>
      <c r="E50">
        <v>60</v>
      </c>
      <c r="F50">
        <v>21000</v>
      </c>
      <c r="G50" t="s">
        <v>222</v>
      </c>
      <c r="H50">
        <v>350</v>
      </c>
      <c r="I50" t="s">
        <v>19</v>
      </c>
    </row>
    <row r="51" spans="1:9">
      <c r="A51" s="30">
        <v>46101</v>
      </c>
      <c r="B51" t="s">
        <v>25</v>
      </c>
      <c r="D51" t="s">
        <v>168</v>
      </c>
      <c r="E51">
        <v>12</v>
      </c>
      <c r="F51">
        <v>5040</v>
      </c>
      <c r="G51" t="s">
        <v>223</v>
      </c>
      <c r="H51">
        <v>420</v>
      </c>
      <c r="I51" t="s">
        <v>170</v>
      </c>
    </row>
    <row r="52" spans="1:9">
      <c r="A52" s="30">
        <v>46101</v>
      </c>
      <c r="B52" t="s">
        <v>37</v>
      </c>
      <c r="D52" t="s">
        <v>174</v>
      </c>
      <c r="E52">
        <v>100</v>
      </c>
      <c r="F52">
        <v>12000</v>
      </c>
      <c r="G52" t="s">
        <v>224</v>
      </c>
      <c r="H52">
        <v>120</v>
      </c>
      <c r="I52" t="s">
        <v>10</v>
      </c>
    </row>
    <row r="53" spans="1:9">
      <c r="A53" s="30">
        <v>46101</v>
      </c>
      <c r="B53" t="s">
        <v>46</v>
      </c>
      <c r="D53" t="s">
        <v>168</v>
      </c>
      <c r="E53">
        <v>3</v>
      </c>
      <c r="F53">
        <v>1350</v>
      </c>
      <c r="G53" t="s">
        <v>225</v>
      </c>
      <c r="H53">
        <v>450</v>
      </c>
      <c r="I53" t="s">
        <v>198</v>
      </c>
    </row>
    <row r="54" spans="1:9">
      <c r="A54" s="30">
        <v>46102</v>
      </c>
      <c r="B54" t="s">
        <v>37</v>
      </c>
      <c r="D54" t="s">
        <v>168</v>
      </c>
      <c r="E54">
        <v>15</v>
      </c>
      <c r="F54">
        <v>1800</v>
      </c>
      <c r="G54" t="s">
        <v>226</v>
      </c>
      <c r="H54">
        <v>120</v>
      </c>
      <c r="I54" t="s">
        <v>198</v>
      </c>
    </row>
    <row r="55" spans="1:9">
      <c r="A55" s="30">
        <v>46103</v>
      </c>
      <c r="B55" t="s">
        <v>7</v>
      </c>
      <c r="D55" t="s">
        <v>168</v>
      </c>
      <c r="E55">
        <v>28</v>
      </c>
      <c r="F55">
        <v>23800</v>
      </c>
      <c r="G55" t="s">
        <v>227</v>
      </c>
      <c r="H55">
        <v>850</v>
      </c>
      <c r="I55" t="s">
        <v>181</v>
      </c>
    </row>
    <row r="56" spans="1:9">
      <c r="A56" s="30">
        <v>46103</v>
      </c>
      <c r="B56" t="s">
        <v>28</v>
      </c>
      <c r="D56" t="s">
        <v>168</v>
      </c>
      <c r="E56">
        <v>12</v>
      </c>
      <c r="F56">
        <v>8160</v>
      </c>
      <c r="G56" t="s">
        <v>228</v>
      </c>
      <c r="H56">
        <v>680</v>
      </c>
      <c r="I56" t="s">
        <v>172</v>
      </c>
    </row>
    <row r="57" spans="1:9">
      <c r="A57" s="30">
        <v>46103</v>
      </c>
      <c r="B57" t="s">
        <v>52</v>
      </c>
      <c r="D57" t="s">
        <v>168</v>
      </c>
      <c r="E57">
        <v>8</v>
      </c>
      <c r="F57">
        <v>36000</v>
      </c>
      <c r="G57" t="s">
        <v>229</v>
      </c>
      <c r="H57">
        <v>4500</v>
      </c>
      <c r="I57" t="s">
        <v>198</v>
      </c>
    </row>
    <row r="58" spans="1:9">
      <c r="A58" s="30">
        <v>46105</v>
      </c>
      <c r="B58" t="s">
        <v>7</v>
      </c>
      <c r="D58" t="s">
        <v>174</v>
      </c>
      <c r="E58">
        <v>200</v>
      </c>
      <c r="F58">
        <v>170000</v>
      </c>
      <c r="G58" t="s">
        <v>230</v>
      </c>
      <c r="H58">
        <v>850</v>
      </c>
      <c r="I58" t="s">
        <v>10</v>
      </c>
    </row>
    <row r="59" spans="1:9">
      <c r="A59" s="30">
        <v>46105</v>
      </c>
      <c r="B59" t="s">
        <v>12</v>
      </c>
      <c r="D59" t="s">
        <v>168</v>
      </c>
      <c r="E59">
        <v>18</v>
      </c>
      <c r="F59">
        <v>21600</v>
      </c>
      <c r="G59" t="s">
        <v>231</v>
      </c>
      <c r="H59">
        <v>1200</v>
      </c>
      <c r="I59" t="s">
        <v>198</v>
      </c>
    </row>
    <row r="60" spans="1:9">
      <c r="A60" s="30">
        <v>46106</v>
      </c>
      <c r="B60" t="s">
        <v>1</v>
      </c>
      <c r="D60" t="s">
        <v>168</v>
      </c>
      <c r="E60">
        <v>25</v>
      </c>
      <c r="F60">
        <v>112500</v>
      </c>
      <c r="G60" t="s">
        <v>232</v>
      </c>
      <c r="H60">
        <v>4500</v>
      </c>
      <c r="I60" t="s">
        <v>172</v>
      </c>
    </row>
    <row r="61" spans="1:9">
      <c r="A61" s="30">
        <v>46106</v>
      </c>
      <c r="B61" t="s">
        <v>7</v>
      </c>
      <c r="D61" t="s">
        <v>168</v>
      </c>
      <c r="E61">
        <v>30</v>
      </c>
      <c r="F61">
        <v>25500</v>
      </c>
      <c r="G61" t="s">
        <v>233</v>
      </c>
      <c r="H61">
        <v>850</v>
      </c>
      <c r="I61" t="s">
        <v>185</v>
      </c>
    </row>
    <row r="62" spans="1:9">
      <c r="A62" s="30">
        <v>46106</v>
      </c>
      <c r="B62" t="s">
        <v>40</v>
      </c>
      <c r="D62" t="s">
        <v>168</v>
      </c>
      <c r="E62">
        <v>3</v>
      </c>
      <c r="F62">
        <v>1650</v>
      </c>
      <c r="G62" t="s">
        <v>234</v>
      </c>
      <c r="H62">
        <v>550</v>
      </c>
      <c r="I62" t="s">
        <v>181</v>
      </c>
    </row>
    <row r="63" spans="1:9">
      <c r="A63" s="30">
        <v>46107</v>
      </c>
      <c r="B63" t="s">
        <v>16</v>
      </c>
      <c r="D63" t="s">
        <v>168</v>
      </c>
      <c r="E63">
        <v>25</v>
      </c>
      <c r="F63">
        <v>8750</v>
      </c>
      <c r="G63" t="s">
        <v>235</v>
      </c>
      <c r="H63">
        <v>350</v>
      </c>
      <c r="I63" t="s">
        <v>198</v>
      </c>
    </row>
    <row r="64" spans="1:9">
      <c r="A64" s="30">
        <v>46107</v>
      </c>
      <c r="B64" t="s">
        <v>34</v>
      </c>
      <c r="D64" t="s">
        <v>168</v>
      </c>
      <c r="E64">
        <v>28</v>
      </c>
      <c r="F64">
        <v>2660</v>
      </c>
      <c r="G64" t="s">
        <v>236</v>
      </c>
      <c r="H64">
        <v>95</v>
      </c>
      <c r="I64" t="s">
        <v>198</v>
      </c>
    </row>
    <row r="65" spans="1:9">
      <c r="A65" s="30">
        <v>46107</v>
      </c>
      <c r="B65" t="s">
        <v>49</v>
      </c>
      <c r="D65" t="s">
        <v>168</v>
      </c>
      <c r="E65">
        <v>5</v>
      </c>
      <c r="F65">
        <v>2750</v>
      </c>
      <c r="G65" t="s">
        <v>237</v>
      </c>
      <c r="H65">
        <v>550</v>
      </c>
      <c r="I65" t="s">
        <v>172</v>
      </c>
    </row>
    <row r="66" spans="1:9">
      <c r="A66" s="30">
        <v>46108</v>
      </c>
      <c r="B66" t="s">
        <v>21</v>
      </c>
      <c r="D66" t="s">
        <v>168</v>
      </c>
      <c r="E66">
        <v>8</v>
      </c>
      <c r="F66">
        <v>2240</v>
      </c>
      <c r="G66" t="s">
        <v>238</v>
      </c>
      <c r="H66">
        <v>280</v>
      </c>
      <c r="I66" t="s">
        <v>170</v>
      </c>
    </row>
    <row r="67" spans="1:9">
      <c r="A67" s="30">
        <v>46108</v>
      </c>
      <c r="B67" t="s">
        <v>25</v>
      </c>
      <c r="D67" t="s">
        <v>168</v>
      </c>
      <c r="E67">
        <v>22</v>
      </c>
      <c r="F67">
        <v>9240</v>
      </c>
      <c r="G67" t="s">
        <v>239</v>
      </c>
      <c r="H67">
        <v>420</v>
      </c>
      <c r="I67" t="s">
        <v>185</v>
      </c>
    </row>
    <row r="68" spans="1:9">
      <c r="A68" s="30">
        <v>46109</v>
      </c>
      <c r="B68" t="s">
        <v>1</v>
      </c>
      <c r="D68" t="s">
        <v>174</v>
      </c>
      <c r="E68">
        <v>100</v>
      </c>
      <c r="F68">
        <v>450000</v>
      </c>
      <c r="G68" t="s">
        <v>240</v>
      </c>
      <c r="H68">
        <v>4500</v>
      </c>
      <c r="I68" t="s">
        <v>5</v>
      </c>
    </row>
    <row r="69" spans="1:9">
      <c r="A69" s="30">
        <v>46109</v>
      </c>
      <c r="B69" t="s">
        <v>7</v>
      </c>
      <c r="D69" t="s">
        <v>168</v>
      </c>
      <c r="E69">
        <v>35</v>
      </c>
      <c r="F69">
        <v>29750</v>
      </c>
      <c r="G69" t="s">
        <v>241</v>
      </c>
      <c r="H69">
        <v>850</v>
      </c>
      <c r="I69" t="s">
        <v>172</v>
      </c>
    </row>
    <row r="70" spans="1:9">
      <c r="A70" s="30">
        <v>46109</v>
      </c>
      <c r="B70" t="s">
        <v>37</v>
      </c>
      <c r="D70" t="s">
        <v>168</v>
      </c>
      <c r="E70">
        <v>20</v>
      </c>
      <c r="F70">
        <v>2400</v>
      </c>
      <c r="G70" t="s">
        <v>242</v>
      </c>
      <c r="H70">
        <v>120</v>
      </c>
      <c r="I70" t="s">
        <v>172</v>
      </c>
    </row>
    <row r="71" spans="1:9">
      <c r="A71" s="30">
        <v>46109</v>
      </c>
      <c r="B71" t="s">
        <v>43</v>
      </c>
      <c r="D71" t="s">
        <v>168</v>
      </c>
      <c r="E71">
        <v>10</v>
      </c>
      <c r="F71">
        <v>2300</v>
      </c>
      <c r="G71" t="s">
        <v>243</v>
      </c>
      <c r="H71">
        <v>230</v>
      </c>
      <c r="I71" t="s">
        <v>172</v>
      </c>
    </row>
    <row r="72" spans="1:9">
      <c r="A72" s="30">
        <v>46111</v>
      </c>
      <c r="B72" t="s">
        <v>31</v>
      </c>
      <c r="D72" t="s">
        <v>168</v>
      </c>
      <c r="E72">
        <v>5</v>
      </c>
      <c r="F72">
        <v>900</v>
      </c>
      <c r="G72" t="s">
        <v>244</v>
      </c>
      <c r="H72">
        <v>180</v>
      </c>
      <c r="I72" t="s">
        <v>198</v>
      </c>
    </row>
    <row r="73" spans="1:9">
      <c r="A73" s="30">
        <v>46112</v>
      </c>
      <c r="B73" t="s">
        <v>12</v>
      </c>
      <c r="D73" t="s">
        <v>168</v>
      </c>
      <c r="E73">
        <v>14</v>
      </c>
      <c r="F73">
        <v>16800</v>
      </c>
      <c r="G73" t="s">
        <v>245</v>
      </c>
      <c r="H73">
        <v>1200</v>
      </c>
      <c r="I73" t="s">
        <v>172</v>
      </c>
    </row>
    <row r="74" spans="1:9">
      <c r="A74" s="30">
        <v>46113</v>
      </c>
      <c r="B74" t="s">
        <v>1</v>
      </c>
      <c r="D74" t="s">
        <v>168</v>
      </c>
      <c r="E74">
        <v>20</v>
      </c>
      <c r="F74">
        <v>90000</v>
      </c>
      <c r="G74" t="s">
        <v>246</v>
      </c>
      <c r="H74">
        <v>4500</v>
      </c>
      <c r="I74" t="s">
        <v>185</v>
      </c>
    </row>
    <row r="75" spans="1:9">
      <c r="A75" s="30">
        <v>46113</v>
      </c>
      <c r="B75" t="s">
        <v>7</v>
      </c>
      <c r="D75" t="s">
        <v>168</v>
      </c>
      <c r="E75">
        <v>25</v>
      </c>
      <c r="F75">
        <v>21250</v>
      </c>
      <c r="G75" t="s">
        <v>247</v>
      </c>
      <c r="H75">
        <v>850</v>
      </c>
      <c r="I75" t="s">
        <v>181</v>
      </c>
    </row>
    <row r="76" spans="1:9">
      <c r="A76" s="30">
        <v>46114</v>
      </c>
      <c r="B76" t="s">
        <v>25</v>
      </c>
      <c r="D76" t="s">
        <v>168</v>
      </c>
      <c r="E76">
        <v>15</v>
      </c>
      <c r="F76">
        <v>6300</v>
      </c>
      <c r="G76" t="s">
        <v>248</v>
      </c>
      <c r="H76">
        <v>420</v>
      </c>
      <c r="I76" t="s">
        <v>185</v>
      </c>
    </row>
    <row r="77" spans="1:9">
      <c r="A77" s="30">
        <v>46115</v>
      </c>
      <c r="B77" t="s">
        <v>34</v>
      </c>
      <c r="D77" t="s">
        <v>168</v>
      </c>
      <c r="E77">
        <v>22</v>
      </c>
      <c r="F77">
        <v>2090</v>
      </c>
      <c r="G77" t="s">
        <v>249</v>
      </c>
      <c r="H77">
        <v>95</v>
      </c>
      <c r="I77" t="s">
        <v>181</v>
      </c>
    </row>
    <row r="78" spans="1:9">
      <c r="A78" s="30">
        <v>46115</v>
      </c>
      <c r="B78" t="s">
        <v>52</v>
      </c>
      <c r="D78" t="s">
        <v>168</v>
      </c>
      <c r="E78">
        <v>6</v>
      </c>
      <c r="F78">
        <v>27000</v>
      </c>
      <c r="G78" t="s">
        <v>250</v>
      </c>
      <c r="H78">
        <v>4500</v>
      </c>
      <c r="I78" t="s">
        <v>181</v>
      </c>
    </row>
    <row r="79" spans="1:9">
      <c r="A79" s="30">
        <v>46116</v>
      </c>
      <c r="B79" t="s">
        <v>7</v>
      </c>
      <c r="D79" t="s">
        <v>168</v>
      </c>
      <c r="E79">
        <v>30</v>
      </c>
      <c r="F79">
        <v>25500</v>
      </c>
      <c r="G79" t="s">
        <v>251</v>
      </c>
      <c r="H79">
        <v>850</v>
      </c>
      <c r="I79" t="s">
        <v>172</v>
      </c>
    </row>
    <row r="80" spans="1:9">
      <c r="A80" s="30">
        <v>46116</v>
      </c>
      <c r="B80" t="s">
        <v>37</v>
      </c>
      <c r="D80" t="s">
        <v>168</v>
      </c>
      <c r="E80">
        <v>18</v>
      </c>
      <c r="F80">
        <v>2160</v>
      </c>
      <c r="G80" t="s">
        <v>252</v>
      </c>
      <c r="H80">
        <v>120</v>
      </c>
      <c r="I80" t="s">
        <v>170</v>
      </c>
    </row>
  </sheetData>
  <sheetProtection password="F0A7" sheet="1" objects="1" scenarios="1"/>
  <mergeCells count="1">
    <mergeCell ref="A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754F5-D7D3-46DB-AB21-F512259147DC}">
  <sheetPr codeName="Sheet4"/>
  <dimension ref="A1:H32"/>
  <sheetViews>
    <sheetView rightToLeft="1" workbookViewId="0">
      <selection sqref="A1:H32"/>
    </sheetView>
  </sheetViews>
  <sheetFormatPr defaultRowHeight="14.25"/>
  <sheetData>
    <row r="1" spans="1:5" ht="20.25" thickTop="1" thickBot="1">
      <c r="A1" s="235" t="s">
        <v>80</v>
      </c>
      <c r="B1" s="236"/>
      <c r="C1" s="236"/>
      <c r="D1" s="236"/>
      <c r="E1" s="237"/>
    </row>
    <row r="2" spans="1:5" ht="15.75" thickTop="1" thickBot="1">
      <c r="A2" s="238" t="s">
        <v>81</v>
      </c>
      <c r="B2" s="229"/>
      <c r="C2" s="229"/>
      <c r="D2" s="229"/>
      <c r="E2" s="214"/>
    </row>
    <row r="3" spans="1:5" ht="15.75" thickBot="1">
      <c r="A3" s="230" t="s">
        <v>82</v>
      </c>
      <c r="B3" s="231"/>
      <c r="C3" s="231"/>
      <c r="D3" s="231"/>
      <c r="E3" s="232"/>
    </row>
    <row r="4" spans="1:5" ht="15" thickBot="1">
      <c r="A4" s="239" t="s">
        <v>83</v>
      </c>
      <c r="B4" s="240"/>
      <c r="C4" s="240"/>
      <c r="D4" s="240"/>
      <c r="E4" s="240"/>
    </row>
    <row r="5" spans="1:5" ht="120">
      <c r="A5" s="2" t="s">
        <v>84</v>
      </c>
      <c r="B5" s="3" t="s">
        <v>85</v>
      </c>
      <c r="C5" s="4" t="s">
        <v>86</v>
      </c>
      <c r="D5" s="5" t="s">
        <v>87</v>
      </c>
      <c r="E5" s="6" t="s">
        <v>88</v>
      </c>
    </row>
    <row r="6" spans="1:5" ht="84">
      <c r="A6" s="7" t="s">
        <v>89</v>
      </c>
      <c r="B6" s="8" t="s">
        <v>90</v>
      </c>
      <c r="C6" s="9" t="s">
        <v>91</v>
      </c>
      <c r="D6" s="5" t="s">
        <v>87</v>
      </c>
      <c r="E6" s="10" t="s">
        <v>92</v>
      </c>
    </row>
    <row r="7" spans="1:5" ht="84">
      <c r="A7" s="2" t="s">
        <v>93</v>
      </c>
      <c r="B7" s="3" t="s">
        <v>94</v>
      </c>
      <c r="C7" s="4" t="s">
        <v>95</v>
      </c>
      <c r="D7" s="5" t="s">
        <v>87</v>
      </c>
      <c r="E7" s="6" t="s">
        <v>96</v>
      </c>
    </row>
    <row r="8" spans="1:5" ht="84">
      <c r="A8" s="7" t="s">
        <v>97</v>
      </c>
      <c r="B8" s="8" t="s">
        <v>98</v>
      </c>
      <c r="C8" s="9" t="s">
        <v>99</v>
      </c>
      <c r="D8" s="5" t="s">
        <v>87</v>
      </c>
      <c r="E8" s="10" t="s">
        <v>100</v>
      </c>
    </row>
    <row r="9" spans="1:5" ht="72">
      <c r="A9" s="2" t="s">
        <v>101</v>
      </c>
      <c r="B9" s="3" t="s">
        <v>102</v>
      </c>
      <c r="C9" s="4" t="s">
        <v>103</v>
      </c>
      <c r="D9" s="5" t="s">
        <v>87</v>
      </c>
      <c r="E9" s="6" t="s">
        <v>104</v>
      </c>
    </row>
    <row r="10" spans="1:5" ht="15" thickBot="1"/>
    <row r="11" spans="1:5" ht="15.75" thickBot="1">
      <c r="A11" s="230" t="s">
        <v>105</v>
      </c>
      <c r="B11" s="231"/>
      <c r="C11" s="231"/>
      <c r="D11" s="231"/>
      <c r="E11" s="232"/>
    </row>
    <row r="12" spans="1:5" ht="120">
      <c r="A12" s="7" t="s">
        <v>106</v>
      </c>
      <c r="B12" s="8" t="s">
        <v>107</v>
      </c>
      <c r="C12" s="9" t="s">
        <v>1</v>
      </c>
      <c r="D12" s="5" t="s">
        <v>87</v>
      </c>
      <c r="E12" s="10" t="s">
        <v>108</v>
      </c>
    </row>
    <row r="13" spans="1:5" ht="60">
      <c r="A13" s="2" t="s">
        <v>109</v>
      </c>
      <c r="B13" s="3" t="s">
        <v>110</v>
      </c>
      <c r="C13" s="4" t="s">
        <v>110</v>
      </c>
      <c r="D13" s="5" t="s">
        <v>87</v>
      </c>
      <c r="E13" s="6" t="s">
        <v>111</v>
      </c>
    </row>
    <row r="14" spans="1:5" ht="15" thickBot="1"/>
    <row r="15" spans="1:5" ht="15.75" thickBot="1">
      <c r="A15" s="230" t="s">
        <v>112</v>
      </c>
      <c r="B15" s="231"/>
      <c r="C15" s="231"/>
      <c r="D15" s="231"/>
      <c r="E15" s="232"/>
    </row>
    <row r="16" spans="1:5" ht="48">
      <c r="A16" s="11" t="s">
        <v>113</v>
      </c>
      <c r="B16" s="12" t="s">
        <v>114</v>
      </c>
      <c r="C16" s="13" t="s">
        <v>9</v>
      </c>
      <c r="D16" s="14" t="s">
        <v>115</v>
      </c>
      <c r="E16" s="6" t="s">
        <v>116</v>
      </c>
    </row>
    <row r="17" spans="1:8" ht="36">
      <c r="A17" s="15" t="s">
        <v>117</v>
      </c>
      <c r="B17" s="16" t="s">
        <v>118</v>
      </c>
      <c r="C17" s="17" t="s">
        <v>119</v>
      </c>
      <c r="D17" s="18" t="s">
        <v>120</v>
      </c>
      <c r="E17" s="10" t="s">
        <v>121</v>
      </c>
    </row>
    <row r="18" spans="1:8" ht="48">
      <c r="A18" s="11" t="s">
        <v>122</v>
      </c>
      <c r="B18" s="12" t="s">
        <v>123</v>
      </c>
      <c r="C18" s="13" t="s">
        <v>124</v>
      </c>
      <c r="D18" s="14" t="s">
        <v>125</v>
      </c>
      <c r="E18" s="6" t="s">
        <v>126</v>
      </c>
    </row>
    <row r="19" spans="1:8" ht="48">
      <c r="A19" s="15" t="s">
        <v>127</v>
      </c>
      <c r="B19" s="16" t="s">
        <v>128</v>
      </c>
      <c r="C19" s="17" t="s">
        <v>129</v>
      </c>
      <c r="D19" s="18" t="s">
        <v>130</v>
      </c>
      <c r="E19" s="10" t="s">
        <v>131</v>
      </c>
    </row>
    <row r="20" spans="1:8" ht="36">
      <c r="A20" s="11" t="s">
        <v>132</v>
      </c>
      <c r="B20" s="12" t="s">
        <v>133</v>
      </c>
      <c r="C20" s="13" t="s">
        <v>134</v>
      </c>
      <c r="D20" s="14" t="s">
        <v>135</v>
      </c>
      <c r="E20" s="6" t="s">
        <v>136</v>
      </c>
    </row>
    <row r="21" spans="1:8" ht="36">
      <c r="A21" s="15" t="s">
        <v>137</v>
      </c>
      <c r="B21" s="16" t="s">
        <v>138</v>
      </c>
      <c r="C21" s="17" t="s">
        <v>139</v>
      </c>
      <c r="D21" s="18" t="s">
        <v>140</v>
      </c>
      <c r="E21" s="10" t="s">
        <v>141</v>
      </c>
    </row>
    <row r="22" spans="1:8" ht="15" thickBot="1"/>
    <row r="23" spans="1:8" ht="15.75" thickBot="1">
      <c r="A23" s="230" t="s">
        <v>142</v>
      </c>
      <c r="B23" s="231"/>
      <c r="C23" s="231"/>
      <c r="D23" s="231"/>
      <c r="E23" s="232"/>
    </row>
    <row r="24" spans="1:8" ht="15.75">
      <c r="A24" s="2" t="s">
        <v>143</v>
      </c>
      <c r="B24" s="233" t="s">
        <v>144</v>
      </c>
      <c r="C24" s="214"/>
      <c r="D24" s="234" t="s">
        <v>145</v>
      </c>
      <c r="E24" s="214"/>
    </row>
    <row r="25" spans="1:8" ht="15.75">
      <c r="A25" s="7" t="s">
        <v>143</v>
      </c>
      <c r="B25" s="226" t="s">
        <v>146</v>
      </c>
      <c r="C25" s="214"/>
      <c r="D25" s="227" t="s">
        <v>147</v>
      </c>
      <c r="E25" s="214"/>
    </row>
    <row r="26" spans="1:8" ht="15.75">
      <c r="A26" s="2" t="s">
        <v>143</v>
      </c>
      <c r="B26" s="233" t="s">
        <v>148</v>
      </c>
      <c r="C26" s="214"/>
      <c r="D26" s="234" t="s">
        <v>149</v>
      </c>
      <c r="E26" s="214"/>
    </row>
    <row r="27" spans="1:8" ht="15.75">
      <c r="A27" s="7" t="s">
        <v>143</v>
      </c>
      <c r="B27" s="226" t="s">
        <v>150</v>
      </c>
      <c r="C27" s="214"/>
      <c r="D27" s="227" t="s">
        <v>151</v>
      </c>
      <c r="E27" s="214"/>
    </row>
    <row r="30" spans="1:8">
      <c r="A30" s="228" t="s">
        <v>152</v>
      </c>
      <c r="B30" s="229"/>
      <c r="C30" s="229"/>
      <c r="D30" s="229"/>
      <c r="E30" s="229"/>
      <c r="F30" s="229"/>
      <c r="G30" s="229"/>
      <c r="H30" s="214"/>
    </row>
    <row r="32" spans="1:8">
      <c r="A32" s="19" t="s">
        <v>153</v>
      </c>
    </row>
  </sheetData>
  <mergeCells count="16">
    <mergeCell ref="A15:E15"/>
    <mergeCell ref="A1:E1"/>
    <mergeCell ref="A2:E2"/>
    <mergeCell ref="A3:E3"/>
    <mergeCell ref="A4:E4"/>
    <mergeCell ref="A11:E11"/>
    <mergeCell ref="B27:C27"/>
    <mergeCell ref="D27:E27"/>
    <mergeCell ref="A30:H30"/>
    <mergeCell ref="A23:E23"/>
    <mergeCell ref="B24:C24"/>
    <mergeCell ref="D24:E24"/>
    <mergeCell ref="B25:C25"/>
    <mergeCell ref="D25:E25"/>
    <mergeCell ref="B26:C26"/>
    <mergeCell ref="D26:E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0AE4B-1C8A-40BF-B656-09A74D3BC941}">
  <sheetPr codeName="Sheet5"/>
  <dimension ref="A1:I5"/>
  <sheetViews>
    <sheetView rightToLeft="1" workbookViewId="0">
      <selection sqref="A1:I5"/>
    </sheetView>
  </sheetViews>
  <sheetFormatPr defaultRowHeight="14.25"/>
  <sheetData>
    <row r="1" spans="1:9" ht="18" thickBot="1">
      <c r="A1" s="241" t="s">
        <v>55</v>
      </c>
      <c r="B1" s="216"/>
      <c r="C1" s="216"/>
      <c r="D1" s="216"/>
      <c r="E1" s="216"/>
      <c r="F1" s="216"/>
      <c r="G1" s="216"/>
      <c r="H1" s="216"/>
      <c r="I1" s="216"/>
    </row>
    <row r="2" spans="1:9" ht="26.25" thickBot="1">
      <c r="A2" s="1" t="s">
        <v>56</v>
      </c>
      <c r="B2" s="1" t="s">
        <v>57</v>
      </c>
      <c r="C2" s="1" t="s">
        <v>58</v>
      </c>
      <c r="D2" s="1" t="s">
        <v>59</v>
      </c>
      <c r="E2" s="1" t="s">
        <v>60</v>
      </c>
      <c r="F2" s="1" t="s">
        <v>61</v>
      </c>
      <c r="G2" s="1" t="s">
        <v>62</v>
      </c>
      <c r="H2" s="1" t="s">
        <v>63</v>
      </c>
      <c r="I2" s="1" t="s">
        <v>64</v>
      </c>
    </row>
    <row r="3" spans="1:9">
      <c r="A3" t="s">
        <v>5</v>
      </c>
      <c r="B3" t="s">
        <v>65</v>
      </c>
      <c r="C3" t="s">
        <v>66</v>
      </c>
      <c r="D3" t="s">
        <v>67</v>
      </c>
      <c r="E3" t="s">
        <v>68</v>
      </c>
      <c r="F3" t="s">
        <v>4</v>
      </c>
      <c r="G3">
        <v>5</v>
      </c>
      <c r="H3">
        <v>92</v>
      </c>
      <c r="I3" t="s">
        <v>69</v>
      </c>
    </row>
    <row r="4" spans="1:9">
      <c r="A4" t="s">
        <v>10</v>
      </c>
      <c r="B4" t="s">
        <v>70</v>
      </c>
      <c r="C4" t="s">
        <v>71</v>
      </c>
      <c r="D4" t="s">
        <v>72</v>
      </c>
      <c r="E4" t="s">
        <v>73</v>
      </c>
      <c r="F4" t="s">
        <v>14</v>
      </c>
      <c r="G4">
        <v>8</v>
      </c>
      <c r="H4">
        <v>78</v>
      </c>
      <c r="I4" t="s">
        <v>74</v>
      </c>
    </row>
    <row r="5" spans="1:9">
      <c r="A5" t="s">
        <v>19</v>
      </c>
      <c r="B5" t="s">
        <v>75</v>
      </c>
      <c r="C5" t="s">
        <v>76</v>
      </c>
      <c r="D5" t="s">
        <v>77</v>
      </c>
      <c r="E5" t="s">
        <v>78</v>
      </c>
      <c r="F5" t="s">
        <v>4</v>
      </c>
      <c r="G5">
        <v>3</v>
      </c>
      <c r="H5">
        <v>95</v>
      </c>
      <c r="I5" t="s">
        <v>79</v>
      </c>
    </row>
  </sheetData>
  <mergeCells count="1">
    <mergeCell ref="A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509-A1B3-4B73-AB6A-6E35243F9F92}">
  <sheetPr codeName="Sheet6"/>
  <dimension ref="A1:M16"/>
  <sheetViews>
    <sheetView rightToLeft="1" workbookViewId="0">
      <selection sqref="A1:M16"/>
    </sheetView>
  </sheetViews>
  <sheetFormatPr defaultRowHeight="14.25"/>
  <sheetData>
    <row r="1" spans="1:13" ht="17.25">
      <c r="A1" s="242" t="s">
        <v>0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</row>
    <row r="2" spans="1:13">
      <c r="A2" t="s">
        <v>1</v>
      </c>
      <c r="B2" t="s">
        <v>2</v>
      </c>
      <c r="C2">
        <v>500</v>
      </c>
      <c r="E2" t="s">
        <v>3</v>
      </c>
      <c r="F2" t="s">
        <v>4</v>
      </c>
      <c r="G2">
        <v>500</v>
      </c>
      <c r="H2">
        <v>4500</v>
      </c>
      <c r="I2" t="s">
        <v>5</v>
      </c>
      <c r="J2">
        <v>200</v>
      </c>
      <c r="K2" t="s">
        <v>6</v>
      </c>
    </row>
    <row r="3" spans="1:13">
      <c r="A3" t="s">
        <v>7</v>
      </c>
      <c r="B3" t="s">
        <v>8</v>
      </c>
      <c r="C3">
        <v>800</v>
      </c>
      <c r="E3" t="s">
        <v>9</v>
      </c>
      <c r="F3" t="s">
        <v>4</v>
      </c>
      <c r="G3">
        <v>800</v>
      </c>
      <c r="H3">
        <v>850</v>
      </c>
      <c r="I3" t="s">
        <v>10</v>
      </c>
      <c r="J3">
        <v>100</v>
      </c>
      <c r="K3" t="s">
        <v>11</v>
      </c>
    </row>
    <row r="4" spans="1:13">
      <c r="A4" t="s">
        <v>12</v>
      </c>
      <c r="B4" t="s">
        <v>13</v>
      </c>
      <c r="C4">
        <v>400</v>
      </c>
      <c r="E4" t="s">
        <v>9</v>
      </c>
      <c r="F4" t="s">
        <v>14</v>
      </c>
      <c r="G4">
        <v>400</v>
      </c>
      <c r="H4">
        <v>1200</v>
      </c>
      <c r="I4" t="s">
        <v>10</v>
      </c>
      <c r="J4">
        <v>80</v>
      </c>
      <c r="K4" t="s">
        <v>15</v>
      </c>
    </row>
    <row r="5" spans="1:13">
      <c r="A5" t="s">
        <v>16</v>
      </c>
      <c r="B5" t="s">
        <v>17</v>
      </c>
      <c r="C5">
        <v>300</v>
      </c>
      <c r="E5" t="s">
        <v>18</v>
      </c>
      <c r="F5" t="s">
        <v>14</v>
      </c>
      <c r="G5">
        <v>300</v>
      </c>
      <c r="H5">
        <v>350</v>
      </c>
      <c r="I5" t="s">
        <v>19</v>
      </c>
      <c r="J5">
        <v>50</v>
      </c>
      <c r="K5" t="s">
        <v>20</v>
      </c>
    </row>
    <row r="6" spans="1:13">
      <c r="A6" t="s">
        <v>21</v>
      </c>
      <c r="B6" t="s">
        <v>22</v>
      </c>
      <c r="C6">
        <v>150</v>
      </c>
      <c r="E6" t="s">
        <v>9</v>
      </c>
      <c r="F6" t="s">
        <v>23</v>
      </c>
      <c r="G6">
        <v>150</v>
      </c>
      <c r="H6">
        <v>280</v>
      </c>
      <c r="I6" t="s">
        <v>19</v>
      </c>
      <c r="J6">
        <v>30</v>
      </c>
      <c r="K6" t="s">
        <v>24</v>
      </c>
    </row>
    <row r="7" spans="1:13">
      <c r="A7" t="s">
        <v>25</v>
      </c>
      <c r="B7" t="s">
        <v>26</v>
      </c>
      <c r="C7">
        <v>500</v>
      </c>
      <c r="E7" t="s">
        <v>9</v>
      </c>
      <c r="F7" t="s">
        <v>14</v>
      </c>
      <c r="G7">
        <v>500</v>
      </c>
      <c r="H7">
        <v>420</v>
      </c>
      <c r="I7" t="s">
        <v>10</v>
      </c>
      <c r="J7">
        <v>60</v>
      </c>
      <c r="K7" t="s">
        <v>27</v>
      </c>
    </row>
    <row r="8" spans="1:13">
      <c r="A8" t="s">
        <v>28</v>
      </c>
      <c r="B8" t="s">
        <v>29</v>
      </c>
      <c r="C8">
        <v>200</v>
      </c>
      <c r="E8" t="s">
        <v>18</v>
      </c>
      <c r="F8" t="s">
        <v>23</v>
      </c>
      <c r="G8">
        <v>200</v>
      </c>
      <c r="H8">
        <v>680</v>
      </c>
      <c r="I8" t="s">
        <v>19</v>
      </c>
      <c r="J8">
        <v>40</v>
      </c>
      <c r="K8" t="s">
        <v>30</v>
      </c>
    </row>
    <row r="9" spans="1:13">
      <c r="A9" t="s">
        <v>31</v>
      </c>
      <c r="B9" t="s">
        <v>32</v>
      </c>
      <c r="C9">
        <v>100</v>
      </c>
      <c r="E9" t="s">
        <v>9</v>
      </c>
      <c r="F9" t="s">
        <v>23</v>
      </c>
      <c r="G9">
        <v>100</v>
      </c>
      <c r="H9">
        <v>180</v>
      </c>
      <c r="I9" t="s">
        <v>5</v>
      </c>
      <c r="J9">
        <v>20</v>
      </c>
      <c r="K9" t="s">
        <v>33</v>
      </c>
    </row>
    <row r="10" spans="1:13">
      <c r="A10" t="s">
        <v>34</v>
      </c>
      <c r="B10" t="s">
        <v>35</v>
      </c>
      <c r="C10">
        <v>600</v>
      </c>
      <c r="E10" t="s">
        <v>9</v>
      </c>
      <c r="F10" t="s">
        <v>14</v>
      </c>
      <c r="G10">
        <v>600</v>
      </c>
      <c r="H10">
        <v>95</v>
      </c>
      <c r="I10" t="s">
        <v>10</v>
      </c>
      <c r="J10">
        <v>70</v>
      </c>
      <c r="K10" t="s">
        <v>36</v>
      </c>
    </row>
    <row r="11" spans="1:13">
      <c r="A11" t="s">
        <v>37</v>
      </c>
      <c r="B11" t="s">
        <v>38</v>
      </c>
      <c r="C11">
        <v>450</v>
      </c>
      <c r="E11" t="s">
        <v>9</v>
      </c>
      <c r="F11" t="s">
        <v>14</v>
      </c>
      <c r="G11">
        <v>450</v>
      </c>
      <c r="H11">
        <v>120</v>
      </c>
      <c r="I11" t="s">
        <v>10</v>
      </c>
      <c r="J11">
        <v>50</v>
      </c>
      <c r="K11" t="s">
        <v>39</v>
      </c>
    </row>
    <row r="12" spans="1:13">
      <c r="A12" t="s">
        <v>40</v>
      </c>
      <c r="B12" t="s">
        <v>41</v>
      </c>
      <c r="C12">
        <v>80</v>
      </c>
      <c r="E12" t="s">
        <v>3</v>
      </c>
      <c r="F12" t="s">
        <v>23</v>
      </c>
      <c r="G12">
        <v>80</v>
      </c>
      <c r="H12">
        <v>550</v>
      </c>
      <c r="I12" t="s">
        <v>5</v>
      </c>
      <c r="J12">
        <v>15</v>
      </c>
      <c r="K12" t="s">
        <v>42</v>
      </c>
    </row>
    <row r="13" spans="1:13">
      <c r="A13" t="s">
        <v>43</v>
      </c>
      <c r="B13" t="s">
        <v>44</v>
      </c>
      <c r="C13">
        <v>350</v>
      </c>
      <c r="E13" t="s">
        <v>9</v>
      </c>
      <c r="F13" t="s">
        <v>23</v>
      </c>
      <c r="G13">
        <v>350</v>
      </c>
      <c r="H13">
        <v>230</v>
      </c>
      <c r="I13" t="s">
        <v>19</v>
      </c>
      <c r="J13">
        <v>40</v>
      </c>
      <c r="K13" t="s">
        <v>45</v>
      </c>
    </row>
    <row r="14" spans="1:13">
      <c r="A14" t="s">
        <v>46</v>
      </c>
      <c r="B14" t="s">
        <v>47</v>
      </c>
      <c r="C14">
        <v>10</v>
      </c>
      <c r="E14" t="s">
        <v>9</v>
      </c>
      <c r="F14" t="s">
        <v>23</v>
      </c>
      <c r="G14">
        <v>10</v>
      </c>
      <c r="H14">
        <v>450</v>
      </c>
      <c r="I14" t="s">
        <v>5</v>
      </c>
      <c r="J14">
        <v>5</v>
      </c>
      <c r="K14" t="s">
        <v>48</v>
      </c>
    </row>
    <row r="15" spans="1:13">
      <c r="A15" t="s">
        <v>49</v>
      </c>
      <c r="B15" t="s">
        <v>50</v>
      </c>
      <c r="C15">
        <v>12</v>
      </c>
      <c r="E15" t="s">
        <v>18</v>
      </c>
      <c r="F15" t="s">
        <v>23</v>
      </c>
      <c r="G15">
        <v>12</v>
      </c>
      <c r="H15">
        <v>550</v>
      </c>
      <c r="I15" t="s">
        <v>19</v>
      </c>
      <c r="J15">
        <v>5</v>
      </c>
      <c r="K15" t="s">
        <v>51</v>
      </c>
    </row>
    <row r="16" spans="1:13">
      <c r="A16" t="s">
        <v>52</v>
      </c>
      <c r="B16" t="s">
        <v>53</v>
      </c>
      <c r="C16">
        <v>39</v>
      </c>
      <c r="E16" t="s">
        <v>3</v>
      </c>
      <c r="F16" t="s">
        <v>14</v>
      </c>
      <c r="G16">
        <v>39</v>
      </c>
      <c r="H16">
        <v>4500</v>
      </c>
      <c r="I16" t="s">
        <v>5</v>
      </c>
      <c r="J16">
        <v>10</v>
      </c>
      <c r="K16" t="s">
        <v>54</v>
      </c>
    </row>
  </sheetData>
  <sheetProtection password="F0A7" sheet="1" objects="1" scenarios="1"/>
  <mergeCells count="1">
    <mergeCell ref="A1:M1"/>
  </mergeCells>
  <conditionalFormatting sqref="C2:C16">
    <cfRule type="expression" dxfId="1" priority="1" stopIfTrue="1">
      <formula>$C2&lt;=$F2</formula>
    </cfRule>
    <cfRule type="expression" dxfId="0" priority="2" stopIfTrue="1">
      <formula>$C2&lt;=($F2*1.2)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39874-1152-470D-8723-404A11664E4D}">
  <sheetPr codeName="Sheet23"/>
  <dimension ref="A1:D8"/>
  <sheetViews>
    <sheetView rightToLeft="1" workbookViewId="0"/>
  </sheetViews>
  <sheetFormatPr defaultRowHeight="14.25"/>
  <cols>
    <col min="1" max="1" width="25.625" customWidth="1"/>
    <col min="2" max="2" width="18.625" customWidth="1"/>
    <col min="3" max="3" width="10.625" customWidth="1"/>
    <col min="4" max="4" width="50.625" customWidth="1"/>
  </cols>
  <sheetData>
    <row r="1" spans="1:4" ht="15">
      <c r="A1" s="64" t="s">
        <v>316</v>
      </c>
      <c r="B1" s="64" t="s">
        <v>317</v>
      </c>
      <c r="C1" s="64" t="s">
        <v>318</v>
      </c>
      <c r="D1" s="64" t="s">
        <v>319</v>
      </c>
    </row>
    <row r="2" spans="1:4">
      <c r="A2" t="s">
        <v>320</v>
      </c>
      <c r="B2">
        <v>801.45</v>
      </c>
      <c r="C2" t="s">
        <v>321</v>
      </c>
      <c r="D2" t="s">
        <v>322</v>
      </c>
    </row>
    <row r="3" spans="1:4">
      <c r="A3" t="s">
        <v>323</v>
      </c>
      <c r="B3">
        <v>0.2</v>
      </c>
      <c r="C3" t="s">
        <v>324</v>
      </c>
      <c r="D3" t="s">
        <v>325</v>
      </c>
    </row>
    <row r="4" spans="1:4">
      <c r="A4" t="s">
        <v>326</v>
      </c>
      <c r="B4">
        <v>2</v>
      </c>
      <c r="C4" t="s">
        <v>327</v>
      </c>
      <c r="D4" t="s">
        <v>328</v>
      </c>
    </row>
    <row r="5" spans="1:4">
      <c r="A5" t="s">
        <v>329</v>
      </c>
      <c r="B5">
        <v>250</v>
      </c>
      <c r="C5" t="s">
        <v>327</v>
      </c>
      <c r="D5" t="s">
        <v>330</v>
      </c>
    </row>
    <row r="6" spans="1:4">
      <c r="A6" t="s">
        <v>331</v>
      </c>
      <c r="B6">
        <v>38</v>
      </c>
      <c r="C6" t="s">
        <v>327</v>
      </c>
      <c r="D6" t="s">
        <v>332</v>
      </c>
    </row>
    <row r="7" spans="1:4">
      <c r="A7" t="s">
        <v>333</v>
      </c>
      <c r="B7" t="s">
        <v>334</v>
      </c>
      <c r="C7" t="s">
        <v>335</v>
      </c>
      <c r="D7" t="s">
        <v>336</v>
      </c>
    </row>
    <row r="8" spans="1:4">
      <c r="A8" t="s">
        <v>337</v>
      </c>
      <c r="B8">
        <v>1.65</v>
      </c>
      <c r="C8" t="s">
        <v>324</v>
      </c>
      <c r="D8" t="s">
        <v>338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A8CD-EB83-4467-8E06-BBDB4513E534}">
  <sheetPr codeName="Sheet8">
    <tabColor rgb="FF185FA5"/>
  </sheetPr>
  <dimension ref="A1:Z21"/>
  <sheetViews>
    <sheetView tabSelected="1" zoomScaleNormal="100" workbookViewId="0">
      <pane ySplit="3" topLeftCell="A4" activePane="bottomLeft" state="frozen"/>
      <selection pane="bottomLeft" activeCell="G11" sqref="G11"/>
    </sheetView>
  </sheetViews>
  <sheetFormatPr defaultColWidth="7.625" defaultRowHeight="15"/>
  <cols>
    <col min="1" max="1" width="8.75" style="65" customWidth="1"/>
    <col min="2" max="2" width="28" style="65" customWidth="1"/>
    <col min="3" max="3" width="6.125" style="65" customWidth="1"/>
    <col min="4" max="5" width="9.625" style="65" customWidth="1"/>
    <col min="6" max="6" width="12.25" style="65" customWidth="1"/>
    <col min="7" max="7" width="8.75" style="65" customWidth="1"/>
    <col min="8" max="8" width="9.625" style="65" customWidth="1"/>
    <col min="9" max="9" width="14" style="65" customWidth="1"/>
    <col min="10" max="10" width="9.625" style="65" customWidth="1"/>
    <col min="11" max="11" width="12.25" style="65" customWidth="1"/>
    <col min="12" max="12" width="2.625" style="65" customWidth="1"/>
    <col min="13" max="13" width="22.75" style="65" customWidth="1"/>
    <col min="14" max="14" width="7.875" style="65" customWidth="1"/>
    <col min="15" max="16384" width="7.625" style="65"/>
  </cols>
  <sheetData>
    <row r="1" spans="1:26" ht="27.75" customHeight="1">
      <c r="A1" s="243" t="s">
        <v>339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Z1" s="66" t="s">
        <v>174</v>
      </c>
    </row>
    <row r="2" spans="1:26" ht="15" customHeight="1" thickBot="1">
      <c r="A2" s="245" t="s">
        <v>340</v>
      </c>
      <c r="B2" s="244"/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Z2" s="66" t="s">
        <v>168</v>
      </c>
    </row>
    <row r="3" spans="1:26" ht="27.75" customHeight="1" thickBot="1">
      <c r="A3" s="67" t="s">
        <v>56</v>
      </c>
      <c r="B3" s="67" t="s">
        <v>341</v>
      </c>
      <c r="C3" s="67" t="s">
        <v>342</v>
      </c>
      <c r="D3" s="68" t="s">
        <v>343</v>
      </c>
      <c r="E3" s="69" t="s">
        <v>344</v>
      </c>
      <c r="F3" s="70" t="s">
        <v>345</v>
      </c>
      <c r="G3" s="71" t="s">
        <v>346</v>
      </c>
      <c r="H3" s="71" t="s">
        <v>347</v>
      </c>
      <c r="I3" s="71" t="s">
        <v>348</v>
      </c>
      <c r="J3" s="72" t="s">
        <v>349</v>
      </c>
      <c r="K3" s="73" t="s">
        <v>350</v>
      </c>
      <c r="L3" s="74"/>
      <c r="M3" s="75" t="s">
        <v>351</v>
      </c>
      <c r="N3" s="75" t="s">
        <v>352</v>
      </c>
    </row>
    <row r="4" spans="1:26" ht="15" customHeight="1">
      <c r="A4" s="76" t="s">
        <v>1</v>
      </c>
      <c r="B4" s="77" t="str">
        <f>IFERROR(VLOOKUP(A4,[2]ARTICLES!$A$2:$G$347,2,0),"")</f>
        <v>Toner imprimante G030 (noir)</v>
      </c>
      <c r="C4" s="78" t="str">
        <f>IFERROR(VLOOKUP(A4,[2]ARTICLES!$A$2:$E$347,5,0),"")</f>
        <v>Informatique</v>
      </c>
      <c r="D4" s="79">
        <f>IFERROR(SUMIFS([2]MOUVEMENTS!E:E,[2]MOUVEMENTS!B:B,A4,[2]MOUVEMENTS!D:D,CHAR(73)&amp;CHAR(78)),0)</f>
        <v>180</v>
      </c>
      <c r="E4" s="80">
        <f>IFERROR(SUMIFS([2]MOUVEMENTS!E:E,[2]MOUVEMENTS!B:B,A4,[2]MOUVEMENTS!D:D,CHAR(79)&amp;CHAR(85)&amp;CHAR(84)),0)</f>
        <v>120</v>
      </c>
      <c r="F4" s="81">
        <f t="shared" ref="F4:F18" si="0">D4-E4</f>
        <v>60</v>
      </c>
      <c r="G4" s="82">
        <f>IFERROR(VLOOKUP(A4,[2]ARTICLES!#REF!,4,0),0)</f>
        <v>0</v>
      </c>
      <c r="H4" s="83">
        <f>IFERROR(LOOKUP(2,1/([2]MOUVEMENTS!B:B=A4),[2]MOUVEMENTS!H:H),IFERROR(VLOOKUP(A4,[2]ARTICLES!A:H,8,0),0))</f>
        <v>4500</v>
      </c>
      <c r="I4" s="84">
        <f t="shared" ref="I4:I18" si="1">F4*H4</f>
        <v>270000</v>
      </c>
      <c r="J4" s="85">
        <f>IFERROR(G4+(SUMIFS([2]MOUVEMENTS!E:E,[2]MOUVEMENTS!B:B,A4,[2]MOUVEMENTS!D:D,CHAR(79)&amp;CHAR(85)&amp;CHAR(84))/MAX(1,$N$4))*$N$6,G4)</f>
        <v>6.3157894736842106</v>
      </c>
      <c r="K4" s="86" t="str">
        <f t="shared" ref="K4:K18" si="2">IF(F4=0,"!! RUPTURE",IF(F4&lt;=J4,"&gt;&gt; COMMANDER",IF(F4&lt;=J4*1.25,"~ ALERTE","OK")))</f>
        <v>OK</v>
      </c>
      <c r="L4" s="87"/>
      <c r="M4" s="88" t="s">
        <v>353</v>
      </c>
      <c r="N4" s="89">
        <v>38</v>
      </c>
    </row>
    <row r="5" spans="1:26" ht="15" customHeight="1">
      <c r="A5" s="76" t="s">
        <v>7</v>
      </c>
      <c r="B5" s="77" t="str">
        <f>IFERROR(VLOOKUP(A5,[2]ARTICLES!$A$2:$G$347,2,0),"")</f>
        <v>Rame papier A4 80g/m²</v>
      </c>
      <c r="C5" s="78" t="str">
        <f>IFERROR(VLOOKUP(A5,[2]ARTICLES!$A$2:$E$347,5,0),"")</f>
        <v>A</v>
      </c>
      <c r="D5" s="79">
        <f>IFERROR(SUMIFS([2]MOUVEMENTS!E:E,[2]MOUVEMENTS!B:B,A5,[2]MOUVEMENTS!D:D,CHAR(73)&amp;CHAR(78)),0)</f>
        <v>350</v>
      </c>
      <c r="E5" s="80">
        <f>IFERROR(SUMIFS([2]MOUVEMENTS!E:E,[2]MOUVEMENTS!B:B,A5,[2]MOUVEMENTS!D:D,CHAR(79)&amp;CHAR(85)&amp;CHAR(84)),0)</f>
        <v>328</v>
      </c>
      <c r="F5" s="81">
        <f t="shared" si="0"/>
        <v>22</v>
      </c>
      <c r="G5" s="82">
        <f>IFERROR(VLOOKUP(A5,[2]ARTICLES!#REF!,4,0),0)</f>
        <v>0</v>
      </c>
      <c r="H5" s="83">
        <f>IFERROR(LOOKUP(2,1/([2]MOUVEMENTS!B:B=A5),[2]MOUVEMENTS!H:H),IFERROR(VLOOKUP(A5,[2]ARTICLES!A:H,8,0),0))</f>
        <v>850</v>
      </c>
      <c r="I5" s="84">
        <f t="shared" si="1"/>
        <v>18700</v>
      </c>
      <c r="J5" s="85">
        <f>IFERROR(G5+(SUMIFS([2]MOUVEMENTS!E:E,[2]MOUVEMENTS!B:B,A5,[2]MOUVEMENTS!D:D,CHAR(79)&amp;CHAR(85)&amp;CHAR(84))/MAX(1,$N$4))*$N$6,G5)</f>
        <v>17.263157894736842</v>
      </c>
      <c r="K5" s="86" t="str">
        <f t="shared" si="2"/>
        <v>OK</v>
      </c>
      <c r="L5" s="87"/>
      <c r="M5" s="88" t="s">
        <v>354</v>
      </c>
      <c r="N5" s="89">
        <f>$N$4</f>
        <v>38</v>
      </c>
    </row>
    <row r="6" spans="1:26" ht="15" customHeight="1">
      <c r="A6" s="76" t="s">
        <v>12</v>
      </c>
      <c r="B6" s="77" t="str">
        <f>IFERROR(VLOOKUP(A6,[2]ARTICLES!$A$2:$G$347,2,0),"")</f>
        <v>Rame papier A3 80g/m²</v>
      </c>
      <c r="C6" s="78" t="str">
        <f>IFERROR(VLOOKUP(A6,[2]ARTICLES!$A$2:$E$347,5,0),"")</f>
        <v>B</v>
      </c>
      <c r="D6" s="79">
        <f>IFERROR(SUMIFS([2]MOUVEMENTS!E:E,[2]MOUVEMENTS!B:B,A6,[2]MOUVEMENTS!D:D,CHAR(73)&amp;CHAR(78)),0)</f>
        <v>80</v>
      </c>
      <c r="E6" s="80">
        <f>IFERROR(SUMIFS([2]MOUVEMENTS!E:E,[2]MOUVEMENTS!B:B,A6,[2]MOUVEMENTS!D:D,CHAR(79)&amp;CHAR(85)&amp;CHAR(84)),0)</f>
        <v>69</v>
      </c>
      <c r="F6" s="81">
        <f t="shared" si="0"/>
        <v>11</v>
      </c>
      <c r="G6" s="82">
        <f>IFERROR(VLOOKUP(A6,[2]ARTICLES!#REF!,4,0),0)</f>
        <v>0</v>
      </c>
      <c r="H6" s="83">
        <f>IFERROR(LOOKUP(2,1/([2]MOUVEMENTS!B:B=A6),[2]MOUVEMENTS!H:H),IFERROR(VLOOKUP(A6,[2]ARTICLES!A:H,8,0),0))</f>
        <v>1200</v>
      </c>
      <c r="I6" s="84">
        <f t="shared" si="1"/>
        <v>13200</v>
      </c>
      <c r="J6" s="85">
        <f>IFERROR(G6+(SUMIFS([2]MOUVEMENTS!E:E,[2]MOUVEMENTS!B:B,A6,[2]MOUVEMENTS!D:D,CHAR(79)&amp;CHAR(85)&amp;CHAR(84))/MAX(1,$N$4))*$N$6,G6)</f>
        <v>3.6315789473684212</v>
      </c>
      <c r="K6" s="86" t="str">
        <f t="shared" si="2"/>
        <v>OK</v>
      </c>
      <c r="L6" s="87"/>
      <c r="M6" s="88" t="s">
        <v>355</v>
      </c>
      <c r="N6" s="89">
        <v>2</v>
      </c>
    </row>
    <row r="7" spans="1:26" ht="15" customHeight="1">
      <c r="A7" s="76" t="s">
        <v>16</v>
      </c>
      <c r="B7" s="77" t="str">
        <f>IFERROR(VLOOKUP(A7,[2]ARTICLES!$A$2:$G$347,2,0),"")</f>
        <v>Boîte archives carton</v>
      </c>
      <c r="C7" s="78" t="str">
        <f>IFERROR(VLOOKUP(A7,[2]ARTICLES!$A$2:$E$347,5,0),"")</f>
        <v>B</v>
      </c>
      <c r="D7" s="79">
        <f>IFERROR(SUMIFS([2]MOUVEMENTS!E:E,[2]MOUVEMENTS!B:B,A7,[2]MOUVEMENTS!D:D,CHAR(73)&amp;CHAR(78)),0)</f>
        <v>60</v>
      </c>
      <c r="E7" s="80">
        <f>IFERROR(SUMIFS([2]MOUVEMENTS!E:E,[2]MOUVEMENTS!B:B,A7,[2]MOUVEMENTS!D:D,CHAR(79)&amp;CHAR(85)&amp;CHAR(84)),0)</f>
        <v>60</v>
      </c>
      <c r="F7" s="81">
        <f t="shared" si="0"/>
        <v>0</v>
      </c>
      <c r="G7" s="82">
        <f>IFERROR(VLOOKUP(A7,[2]ARTICLES!#REF!,4,0),0)</f>
        <v>0</v>
      </c>
      <c r="H7" s="83">
        <f>IFERROR(LOOKUP(2,1/([2]MOUVEMENTS!B:B=A7),[2]MOUVEMENTS!H:H),IFERROR(VLOOKUP(A7,[2]ARTICLES!A:H,8,0),0))</f>
        <v>350</v>
      </c>
      <c r="I7" s="84">
        <f t="shared" si="1"/>
        <v>0</v>
      </c>
      <c r="J7" s="85">
        <f>IFERROR(G7+(SUMIFS([2]MOUVEMENTS!E:E,[2]MOUVEMENTS!B:B,A7,[2]MOUVEMENTS!D:D,CHAR(79)&amp;CHAR(85)&amp;CHAR(84))/MAX(1,$N$4))*$N$6,G7)</f>
        <v>3.1578947368421053</v>
      </c>
      <c r="K7" s="86" t="str">
        <f t="shared" si="2"/>
        <v>!! RUPTURE</v>
      </c>
      <c r="L7" s="87"/>
      <c r="M7" s="87"/>
      <c r="N7" s="87"/>
    </row>
    <row r="8" spans="1:26" ht="15" customHeight="1">
      <c r="A8" s="76" t="s">
        <v>21</v>
      </c>
      <c r="B8" s="77" t="str">
        <f>IFERROR(VLOOKUP(A8,[2]ARTICLES!$A$2:$G$347,2,0),"")</f>
        <v>Agrafeuse de bureau</v>
      </c>
      <c r="C8" s="78" t="str">
        <f>IFERROR(VLOOKUP(A8,[2]ARTICLES!$A$2:$E$347,5,0),"")</f>
        <v>C</v>
      </c>
      <c r="D8" s="79">
        <f>IFERROR(SUMIFS([2]MOUVEMENTS!E:E,[2]MOUVEMENTS!B:B,A8,[2]MOUVEMENTS!D:D,CHAR(73)&amp;CHAR(78)),0)</f>
        <v>15</v>
      </c>
      <c r="E8" s="80">
        <f>IFERROR(SUMIFS([2]MOUVEMENTS!E:E,[2]MOUVEMENTS!B:B,A8,[2]MOUVEMENTS!D:D,CHAR(79)&amp;CHAR(85)&amp;CHAR(84)),0)</f>
        <v>13</v>
      </c>
      <c r="F8" s="81">
        <f t="shared" si="0"/>
        <v>2</v>
      </c>
      <c r="G8" s="82">
        <f>IFERROR(VLOOKUP(A8,[2]ARTICLES!#REF!,4,0),0)</f>
        <v>0</v>
      </c>
      <c r="H8" s="83">
        <f>IFERROR(LOOKUP(2,1/([2]MOUVEMENTS!B:B=A8),[2]MOUVEMENTS!H:H),IFERROR(VLOOKUP(A8,[2]ARTICLES!A:H,8,0),0))</f>
        <v>280</v>
      </c>
      <c r="I8" s="84">
        <f t="shared" si="1"/>
        <v>560</v>
      </c>
      <c r="J8" s="85">
        <f>IFERROR(G8+(SUMIFS([2]MOUVEMENTS!E:E,[2]MOUVEMENTS!B:B,A8,[2]MOUVEMENTS!D:D,CHAR(79)&amp;CHAR(85)&amp;CHAR(84))/MAX(1,$N$4))*$N$6,G8)</f>
        <v>0.68421052631578949</v>
      </c>
      <c r="K8" s="86" t="str">
        <f t="shared" si="2"/>
        <v>OK</v>
      </c>
      <c r="L8" s="87"/>
      <c r="M8" s="87"/>
      <c r="N8" s="87"/>
    </row>
    <row r="9" spans="1:26" ht="15" customHeight="1">
      <c r="A9" s="76" t="s">
        <v>25</v>
      </c>
      <c r="B9" s="77" t="str">
        <f>IFERROR(VLOOKUP(A9,[2]ARTICLES!$A$2:$G$347,2,0),"")</f>
        <v>Stylos bille boîte/50</v>
      </c>
      <c r="C9" s="78" t="str">
        <f>IFERROR(VLOOKUP(A9,[2]ARTICLES!$A$2:$E$347,5,0),"")</f>
        <v>C</v>
      </c>
      <c r="D9" s="79">
        <f>IFERROR(SUMIFS([2]MOUVEMENTS!E:E,[2]MOUVEMENTS!B:B,A9,[2]MOUVEMENTS!D:D,CHAR(73)&amp;CHAR(78)),0)</f>
        <v>105</v>
      </c>
      <c r="E9" s="80">
        <f>IFERROR(SUMIFS([2]MOUVEMENTS!E:E,[2]MOUVEMENTS!B:B,A9,[2]MOUVEMENTS!D:D,CHAR(79)&amp;CHAR(85)&amp;CHAR(84)),0)</f>
        <v>102</v>
      </c>
      <c r="F9" s="81">
        <f t="shared" si="0"/>
        <v>3</v>
      </c>
      <c r="G9" s="82">
        <f>IFERROR(VLOOKUP(A9,[2]ARTICLES!#REF!,4,0),0)</f>
        <v>0</v>
      </c>
      <c r="H9" s="83">
        <f>IFERROR(LOOKUP(2,1/([2]MOUVEMENTS!B:B=A9),[2]MOUVEMENTS!H:H),IFERROR(VLOOKUP(A9,[2]ARTICLES!A:H,8,0),0))</f>
        <v>420</v>
      </c>
      <c r="I9" s="84">
        <f t="shared" si="1"/>
        <v>1260</v>
      </c>
      <c r="J9" s="85">
        <f>IFERROR(G9+(SUMIFS([2]MOUVEMENTS!E:E,[2]MOUVEMENTS!B:B,A9,[2]MOUVEMENTS!D:D,CHAR(79)&amp;CHAR(85)&amp;CHAR(84))/MAX(1,$N$4))*$N$6,G9)</f>
        <v>5.3684210526315788</v>
      </c>
      <c r="K9" s="86" t="str">
        <f t="shared" si="2"/>
        <v>&gt;&gt; COMMANDER</v>
      </c>
      <c r="L9" s="87"/>
      <c r="M9" s="87"/>
      <c r="N9" s="87"/>
    </row>
    <row r="10" spans="1:26" ht="15" customHeight="1">
      <c r="A10" s="76" t="s">
        <v>28</v>
      </c>
      <c r="B10" s="77" t="str">
        <f>IFERROR(VLOOKUP(A10,[2]ARTICLES!$A$2:$G$347,2,0),"")</f>
        <v>Registre grand format 5m</v>
      </c>
      <c r="C10" s="78" t="str">
        <f>IFERROR(VLOOKUP(A10,[2]ARTICLES!$A$2:$E$347,5,0),"")</f>
        <v>C</v>
      </c>
      <c r="D10" s="79">
        <f>IFERROR(SUMIFS([2]MOUVEMENTS!E:E,[2]MOUVEMENTS!B:B,A10,[2]MOUVEMENTS!D:D,CHAR(73)&amp;CHAR(78)),0)</f>
        <v>25</v>
      </c>
      <c r="E10" s="80">
        <f>IFERROR(SUMIFS([2]MOUVEMENTS!E:E,[2]MOUVEMENTS!B:B,A10,[2]MOUVEMENTS!D:D,CHAR(79)&amp;CHAR(85)&amp;CHAR(84)),0)</f>
        <v>22</v>
      </c>
      <c r="F10" s="81">
        <f t="shared" si="0"/>
        <v>3</v>
      </c>
      <c r="G10" s="82">
        <f>IFERROR(VLOOKUP(A10,[2]ARTICLES!#REF!,4,0),0)</f>
        <v>0</v>
      </c>
      <c r="H10" s="83">
        <f>IFERROR(LOOKUP(2,1/([2]MOUVEMENTS!B:B=A10),[2]MOUVEMENTS!H:H),IFERROR(VLOOKUP(A10,[2]ARTICLES!A:H,8,0),0))</f>
        <v>680</v>
      </c>
      <c r="I10" s="84">
        <f t="shared" si="1"/>
        <v>2040</v>
      </c>
      <c r="J10" s="85">
        <f>IFERROR(G10+(SUMIFS([2]MOUVEMENTS!E:E,[2]MOUVEMENTS!B:B,A10,[2]MOUVEMENTS!D:D,CHAR(79)&amp;CHAR(85)&amp;CHAR(84))/MAX(1,$N$4))*$N$6,G10)</f>
        <v>1.1578947368421053</v>
      </c>
      <c r="K10" s="86" t="str">
        <f t="shared" si="2"/>
        <v>OK</v>
      </c>
      <c r="L10" s="87"/>
      <c r="M10" s="87"/>
      <c r="N10" s="87"/>
    </row>
    <row r="11" spans="1:26" ht="15" customHeight="1">
      <c r="A11" s="76" t="s">
        <v>31</v>
      </c>
      <c r="B11" s="77" t="str">
        <f>IFERROR(VLOOKUP(A11,[2]ARTICLES!$A$2:$G$347,2,0),"")</f>
        <v>Encre tampon</v>
      </c>
      <c r="C11" s="78" t="str">
        <f>IFERROR(VLOOKUP(A11,[2]ARTICLES!$A$2:$E$347,5,0),"")</f>
        <v>C</v>
      </c>
      <c r="D11" s="79">
        <f>IFERROR(SUMIFS([2]MOUVEMENTS!E:E,[2]MOUVEMENTS!B:B,A11,[2]MOUVEMENTS!D:D,CHAR(73)&amp;CHAR(78)),0)</f>
        <v>10</v>
      </c>
      <c r="E11" s="80">
        <f>IFERROR(SUMIFS([2]MOUVEMENTS!E:E,[2]MOUVEMENTS!B:B,A11,[2]MOUVEMENTS!D:D,CHAR(79)&amp;CHAR(85)&amp;CHAR(84)),0)</f>
        <v>8</v>
      </c>
      <c r="F11" s="81">
        <f t="shared" si="0"/>
        <v>2</v>
      </c>
      <c r="G11" s="82">
        <f>IFERROR(VLOOKUP(A11,[2]ARTICLES!#REF!,4,0),0)</f>
        <v>0</v>
      </c>
      <c r="H11" s="83">
        <f>IFERROR(LOOKUP(2,1/([2]MOUVEMENTS!B:B=A11),[2]MOUVEMENTS!H:H),IFERROR(VLOOKUP(A11,[2]ARTICLES!A:H,8,0),0))</f>
        <v>180</v>
      </c>
      <c r="I11" s="84">
        <f t="shared" si="1"/>
        <v>360</v>
      </c>
      <c r="J11" s="85">
        <f>IFERROR(G11+(SUMIFS([2]MOUVEMENTS!E:E,[2]MOUVEMENTS!B:B,A11,[2]MOUVEMENTS!D:D,CHAR(79)&amp;CHAR(85)&amp;CHAR(84))/MAX(1,$N$4))*$N$6,G11)</f>
        <v>0.42105263157894735</v>
      </c>
      <c r="K11" s="86" t="str">
        <f t="shared" si="2"/>
        <v>OK</v>
      </c>
      <c r="L11" s="87"/>
      <c r="M11" s="87"/>
      <c r="N11" s="87"/>
    </row>
    <row r="12" spans="1:26" ht="15" customHeight="1">
      <c r="A12" s="76" t="s">
        <v>34</v>
      </c>
      <c r="B12" s="77" t="str">
        <f>IFERROR(VLOOKUP(A12,[2]ARTICLES!$A$2:$G$347,2,0),"")</f>
        <v>Sous-chemise carton</v>
      </c>
      <c r="C12" s="78" t="str">
        <f>IFERROR(VLOOKUP(A12,[2]ARTICLES!$A$2:$E$347,5,0),"")</f>
        <v>C</v>
      </c>
      <c r="D12" s="79">
        <f>IFERROR(SUMIFS([2]MOUVEMENTS!E:E,[2]MOUVEMENTS!B:B,A12,[2]MOUVEMENTS!D:D,CHAR(73)&amp;CHAR(78)),0)</f>
        <v>130</v>
      </c>
      <c r="E12" s="80">
        <f>IFERROR(SUMIFS([2]MOUVEMENTS!E:E,[2]MOUVEMENTS!B:B,A12,[2]MOUVEMENTS!D:D,CHAR(79)&amp;CHAR(85)&amp;CHAR(84)),0)</f>
        <v>125</v>
      </c>
      <c r="F12" s="81">
        <f t="shared" si="0"/>
        <v>5</v>
      </c>
      <c r="G12" s="82">
        <f>IFERROR(VLOOKUP(A12,[2]ARTICLES!#REF!,4,0),0)</f>
        <v>0</v>
      </c>
      <c r="H12" s="83">
        <f>IFERROR(LOOKUP(2,1/([2]MOUVEMENTS!B:B=A12),[2]MOUVEMENTS!H:H),IFERROR(VLOOKUP(A12,[2]ARTICLES!A:H,8,0),0))</f>
        <v>95</v>
      </c>
      <c r="I12" s="84">
        <f t="shared" si="1"/>
        <v>475</v>
      </c>
      <c r="J12" s="85">
        <f>IFERROR(G12+(SUMIFS([2]MOUVEMENTS!E:E,[2]MOUVEMENTS!B:B,A12,[2]MOUVEMENTS!D:D,CHAR(79)&amp;CHAR(85)&amp;CHAR(84))/MAX(1,$N$4))*$N$6,G12)</f>
        <v>6.5789473684210522</v>
      </c>
      <c r="K12" s="86" t="str">
        <f t="shared" si="2"/>
        <v>&gt;&gt; COMMANDER</v>
      </c>
      <c r="L12" s="87"/>
      <c r="M12" s="87"/>
      <c r="N12" s="87"/>
    </row>
    <row r="13" spans="1:26" ht="15" customHeight="1">
      <c r="A13" s="76" t="s">
        <v>37</v>
      </c>
      <c r="B13" s="77" t="str">
        <f>IFERROR(VLOOKUP(A13,[2]ARTICLES!$A$2:$G$347,2,0),"")</f>
        <v>Chemise cartonnée</v>
      </c>
      <c r="C13" s="78" t="str">
        <f>IFERROR(VLOOKUP(A13,[2]ARTICLES!$A$2:$E$347,5,0),"")</f>
        <v>C</v>
      </c>
      <c r="D13" s="79">
        <f>IFERROR(SUMIFS([2]MOUVEMENTS!E:E,[2]MOUVEMENTS!B:B,A13,[2]MOUVEMENTS!D:D,CHAR(73)&amp;CHAR(78)),0)</f>
        <v>100</v>
      </c>
      <c r="E13" s="80">
        <f>IFERROR(SUMIFS([2]MOUVEMENTS!E:E,[2]MOUVEMENTS!B:B,A13,[2]MOUVEMENTS!D:D,CHAR(79)&amp;CHAR(85)&amp;CHAR(84)),0)</f>
        <v>93</v>
      </c>
      <c r="F13" s="81">
        <f t="shared" si="0"/>
        <v>7</v>
      </c>
      <c r="G13" s="82">
        <f>IFERROR(VLOOKUP(A13,[2]ARTICLES!#REF!,4,0),0)</f>
        <v>0</v>
      </c>
      <c r="H13" s="83">
        <f>IFERROR(LOOKUP(2,1/([2]MOUVEMENTS!B:B=A13),[2]MOUVEMENTS!H:H),IFERROR(VLOOKUP(A13,[2]ARTICLES!A:H,8,0),0))</f>
        <v>120</v>
      </c>
      <c r="I13" s="84">
        <f t="shared" si="1"/>
        <v>840</v>
      </c>
      <c r="J13" s="85">
        <f>IFERROR(G13+(SUMIFS([2]MOUVEMENTS!E:E,[2]MOUVEMENTS!B:B,A13,[2]MOUVEMENTS!D:D,CHAR(79)&amp;CHAR(85)&amp;CHAR(84))/MAX(1,$N$4))*$N$6,G13)</f>
        <v>4.8947368421052628</v>
      </c>
      <c r="K13" s="86" t="str">
        <f t="shared" si="2"/>
        <v>OK</v>
      </c>
      <c r="L13" s="87"/>
      <c r="M13" s="87"/>
      <c r="N13" s="87"/>
    </row>
    <row r="14" spans="1:26" ht="15" customHeight="1">
      <c r="A14" s="76" t="s">
        <v>40</v>
      </c>
      <c r="B14" s="77" t="str">
        <f>IFERROR(VLOOKUP(A14,[2]ARTICLES!$A$2:$G$347,2,0),"")</f>
        <v>Rouleau papier fax</v>
      </c>
      <c r="C14" s="78" t="str">
        <f>IFERROR(VLOOKUP(A14,[2]ARTICLES!$A$2:$E$347,5,0),"")</f>
        <v>C</v>
      </c>
      <c r="D14" s="79">
        <f>IFERROR(SUMIFS([2]MOUVEMENTS!E:E,[2]MOUVEMENTS!B:B,A14,[2]MOUVEMENTS!D:D,CHAR(73)&amp;CHAR(78)),0)</f>
        <v>8</v>
      </c>
      <c r="E14" s="80">
        <f>IFERROR(SUMIFS([2]MOUVEMENTS!E:E,[2]MOUVEMENTS!B:B,A14,[2]MOUVEMENTS!D:D,CHAR(79)&amp;CHAR(85)&amp;CHAR(84)),0)</f>
        <v>5</v>
      </c>
      <c r="F14" s="81">
        <f t="shared" si="0"/>
        <v>3</v>
      </c>
      <c r="G14" s="82">
        <f>IFERROR(VLOOKUP(A14,[2]ARTICLES!#REF!,4,0),0)</f>
        <v>0</v>
      </c>
      <c r="H14" s="83">
        <f>IFERROR(LOOKUP(2,1/([2]MOUVEMENTS!B:B=A14),[2]MOUVEMENTS!H:H),IFERROR(VLOOKUP(A14,[2]ARTICLES!A:H,8,0),0))</f>
        <v>550</v>
      </c>
      <c r="I14" s="84">
        <f t="shared" si="1"/>
        <v>1650</v>
      </c>
      <c r="J14" s="85">
        <f>IFERROR(G14+(SUMIFS([2]MOUVEMENTS!E:E,[2]MOUVEMENTS!B:B,A14,[2]MOUVEMENTS!D:D,CHAR(79)&amp;CHAR(85)&amp;CHAR(84))/MAX(1,$N$4))*$N$6,G14)</f>
        <v>0.26315789473684209</v>
      </c>
      <c r="K14" s="86" t="str">
        <f t="shared" si="2"/>
        <v>OK</v>
      </c>
      <c r="L14" s="87"/>
      <c r="M14" s="87"/>
      <c r="N14" s="87"/>
    </row>
    <row r="15" spans="1:26" ht="15" customHeight="1">
      <c r="A15" s="76" t="s">
        <v>43</v>
      </c>
      <c r="B15" s="77" t="str">
        <f>IFERROR(VLOOKUP(A15,[2]ARTICLES!$A$2:$G$347,2,0),"")</f>
        <v>Marqueur permanent noir</v>
      </c>
      <c r="C15" s="78" t="str">
        <f>IFERROR(VLOOKUP(A15,[2]ARTICLES!$A$2:$E$347,5,0),"")</f>
        <v>C</v>
      </c>
      <c r="D15" s="79">
        <f>IFERROR(SUMIFS([2]MOUVEMENTS!E:E,[2]MOUVEMENTS!B:B,A15,[2]MOUVEMENTS!D:D,CHAR(73)&amp;CHAR(78)),0)</f>
        <v>35</v>
      </c>
      <c r="E15" s="80">
        <f>IFERROR(SUMIFS([2]MOUVEMENTS!E:E,[2]MOUVEMENTS!B:B,A15,[2]MOUVEMENTS!D:D,CHAR(79)&amp;CHAR(85)&amp;CHAR(84)),0)</f>
        <v>30</v>
      </c>
      <c r="F15" s="81">
        <f t="shared" si="0"/>
        <v>5</v>
      </c>
      <c r="G15" s="82">
        <f>IFERROR(VLOOKUP(A15,[2]ARTICLES!#REF!,4,0),0)</f>
        <v>0</v>
      </c>
      <c r="H15" s="83">
        <f>IFERROR(LOOKUP(2,1/([2]MOUVEMENTS!B:B=A15),[2]MOUVEMENTS!H:H),IFERROR(VLOOKUP(A15,[2]ARTICLES!A:H,8,0),0))</f>
        <v>230</v>
      </c>
      <c r="I15" s="84">
        <f t="shared" si="1"/>
        <v>1150</v>
      </c>
      <c r="J15" s="85">
        <f>IFERROR(G15+(SUMIFS([2]MOUVEMENTS!E:E,[2]MOUVEMENTS!B:B,A15,[2]MOUVEMENTS!D:D,CHAR(79)&amp;CHAR(85)&amp;CHAR(84))/MAX(1,$N$4))*$N$6,G15)</f>
        <v>1.5789473684210527</v>
      </c>
      <c r="K15" s="86" t="str">
        <f t="shared" si="2"/>
        <v>OK</v>
      </c>
      <c r="L15" s="87"/>
      <c r="M15" s="87"/>
      <c r="N15" s="87"/>
    </row>
    <row r="16" spans="1:26">
      <c r="A16" s="65" t="s">
        <v>46</v>
      </c>
      <c r="B16" s="65" t="str">
        <f>IFERROR(VLOOKUP(A16,[2]ARTICLES!$A$2:$G$347,2,0),"")</f>
        <v>Encre pour cachets</v>
      </c>
      <c r="C16" s="65" t="str">
        <f>IFERROR(VLOOKUP(A16,[2]ARTICLES!$A$2:$E$347,5,0),"")</f>
        <v>C</v>
      </c>
      <c r="D16" s="65">
        <f>IFERROR(SUMIFS([2]MOUVEMENTS!E:E,[2]MOUVEMENTS!B:B,A16,[2]MOUVEMENTS!D:D,CHAR(73)&amp;CHAR(78)),0)</f>
        <v>8</v>
      </c>
      <c r="E16" s="65">
        <f>IFERROR(SUMIFS([2]MOUVEMENTS!E:E,[2]MOUVEMENTS!B:B,A16,[2]MOUVEMENTS!D:D,CHAR(79)&amp;CHAR(85)&amp;CHAR(84)),0)</f>
        <v>5</v>
      </c>
      <c r="F16" s="65">
        <f t="shared" si="0"/>
        <v>3</v>
      </c>
      <c r="G16" s="65">
        <f>IFERROR(VLOOKUP(A16,[2]ARTICLES!#REF!,4,0),0)</f>
        <v>0</v>
      </c>
      <c r="H16" s="65">
        <f>IFERROR(LOOKUP(2,1/([2]MOUVEMENTS!B:B=A16),[2]MOUVEMENTS!H:H),IFERROR(VLOOKUP(A16,[2]ARTICLES!A:H,8,0),0))</f>
        <v>450</v>
      </c>
      <c r="I16" s="65">
        <f t="shared" si="1"/>
        <v>1350</v>
      </c>
      <c r="J16" s="65">
        <f>IFERROR(G16+(SUMIFS([2]MOUVEMENTS!E:E,[2]MOUVEMENTS!B:B,A16,[2]MOUVEMENTS!D:D,CHAR(79)&amp;CHAR(85)&amp;CHAR(84))/MAX(1,$N$4))*$N$6,G16)</f>
        <v>0.26315789473684209</v>
      </c>
      <c r="K16" s="65" t="str">
        <f t="shared" si="2"/>
        <v>OK</v>
      </c>
    </row>
    <row r="17" spans="1:14" ht="15" customHeight="1">
      <c r="A17" s="90" t="s">
        <v>49</v>
      </c>
      <c r="B17" s="65" t="str">
        <f>IFERROR(VLOOKUP(A17,[2]ARTICLES!$A$2:$G$347,2,0),"")</f>
        <v>Classeur à levier</v>
      </c>
      <c r="C17" s="65" t="str">
        <f>IFERROR(VLOOKUP(A17,[2]ARTICLES!$A$2:$E$347,5,0),"")</f>
        <v>C</v>
      </c>
      <c r="D17" s="91">
        <f>IFERROR(SUMIFS([2]MOUVEMENTS!E:E,[2]MOUVEMENTS!B:B,A17,[2]MOUVEMENTS!D:D,CHAR(73)&amp;CHAR(78)),0)</f>
        <v>10</v>
      </c>
      <c r="E17" s="91">
        <f>IFERROR(SUMIFS([2]MOUVEMENTS!E:E,[2]MOUVEMENTS!B:B,A17,[2]MOUVEMENTS!D:D,CHAR(79)&amp;CHAR(85)&amp;CHAR(84)),0)</f>
        <v>8</v>
      </c>
      <c r="F17" s="85">
        <f t="shared" si="0"/>
        <v>2</v>
      </c>
      <c r="G17" s="91">
        <f>IFERROR(VLOOKUP(A17,[2]ARTICLES!#REF!,4,0),0)</f>
        <v>0</v>
      </c>
      <c r="H17" s="91">
        <f>IFERROR(LOOKUP(2,1/([2]MOUVEMENTS!B:B=A17),[2]MOUVEMENTS!H:H),IFERROR(VLOOKUP(A17,[2]ARTICLES!A:H,8,0),0))</f>
        <v>550</v>
      </c>
      <c r="I17" s="92">
        <f t="shared" si="1"/>
        <v>1100</v>
      </c>
      <c r="J17" s="91">
        <f>IFERROR(G17+(SUMIFS([2]MOUVEMENTS!E:E,[2]MOUVEMENTS!B:B,A17,[2]MOUVEMENTS!D:D,CHAR(79)&amp;CHAR(85)&amp;CHAR(84))/MAX(1,$N$4))*$N$6,G17)</f>
        <v>0.42105263157894735</v>
      </c>
      <c r="K17" s="91" t="str">
        <f t="shared" si="2"/>
        <v>OK</v>
      </c>
      <c r="L17" s="91"/>
      <c r="M17" s="91"/>
      <c r="N17" s="91"/>
    </row>
    <row r="18" spans="1:14">
      <c r="A18" s="65" t="s">
        <v>52</v>
      </c>
      <c r="B18" s="65" t="str">
        <f>IFERROR(VLOOKUP(A18,[2]ARTICLES!$A$2:$G$347,2,0),"")</f>
        <v>Cartouche toner générique</v>
      </c>
      <c r="C18" s="65" t="str">
        <f>IFERROR(VLOOKUP(A18,[2]ARTICLES!$A$2:$E$347,5,0),"")</f>
        <v>B</v>
      </c>
      <c r="D18" s="65">
        <f>IFERROR(SUMIFS([2]MOUVEMENTS!E:E,[2]MOUVEMENTS!B:B,A18,[2]MOUVEMENTS!D:D,CHAR(73)&amp;CHAR(78)),0)</f>
        <v>30</v>
      </c>
      <c r="E18" s="65">
        <f>IFERROR(SUMIFS([2]MOUVEMENTS!E:E,[2]MOUVEMENTS!B:B,A18,[2]MOUVEMENTS!D:D,CHAR(79)&amp;CHAR(85)&amp;CHAR(84)),0)</f>
        <v>19</v>
      </c>
      <c r="F18" s="65">
        <f t="shared" si="0"/>
        <v>11</v>
      </c>
      <c r="G18" s="65">
        <f>IFERROR(VLOOKUP(A18,[2]ARTICLES!#REF!,4,0),0)</f>
        <v>0</v>
      </c>
      <c r="H18" s="65">
        <f>IFERROR(LOOKUP(2,1/([2]MOUVEMENTS!B:B=A18),[2]MOUVEMENTS!H:H),IFERROR(VLOOKUP(A18,[2]ARTICLES!A:H,8,0),0))</f>
        <v>4500</v>
      </c>
      <c r="I18" s="65">
        <f t="shared" si="1"/>
        <v>49500</v>
      </c>
      <c r="J18" s="65">
        <f>IFERROR(G18+(SUMIFS([2]MOUVEMENTS!E:E,[2]MOUVEMENTS!B:B,A18,[2]MOUVEMENTS!D:D,CHAR(79)&amp;CHAR(85)&amp;CHAR(84))/MAX(1,$N$4))*$N$6,G18)</f>
        <v>1</v>
      </c>
      <c r="K18" s="65" t="str">
        <f t="shared" si="2"/>
        <v>OK</v>
      </c>
    </row>
    <row r="19" spans="1:14" ht="15" customHeight="1">
      <c r="A19" s="93" t="s">
        <v>356</v>
      </c>
      <c r="F19" s="65">
        <f>SUM(F4:F18)</f>
        <v>139</v>
      </c>
      <c r="I19" s="65">
        <f>SUM(I4:I18)</f>
        <v>362185</v>
      </c>
    </row>
    <row r="21" spans="1:14">
      <c r="A21" s="65" t="s">
        <v>357</v>
      </c>
    </row>
  </sheetData>
  <sheetProtection algorithmName="SHA-512" hashValue="2SximZZYcsZdOqnHoB4KV/lL4P7U5alTmrHDPcmCsGdZ2mVlO8gmEXw+0SYbmS4/jWhQ/ZSruc7U91F8nHTZlw==" saltValue="z0F1FFQMnPj1PsnO3iLJ4Q==" spinCount="100000" sheet="1" objects="1" scenarios="1" autoFilter="0"/>
  <mergeCells count="2">
    <mergeCell ref="A1:N1"/>
    <mergeCell ref="A2:N2"/>
  </mergeCells>
  <printOptions horizontalCentered="1"/>
  <pageMargins left="0.5" right="0.5" top="0.75" bottom="0.75" header="0.3" footer="0.3"/>
  <pageSetup paperSize="9" fitToHeight="0" orientation="landscape" horizontalDpi="300" verticalDpi="300"/>
  <headerFooter>
    <oddHeader>&amp;LERP Acad�mie  -  Direction de l'Education, El Bayadh&amp;C06-06-2026&amp;R[Logo]</oddHeader>
    <oddFooter>&amp;LERP Academie vv13.4&amp;RPage 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9ACDA-D2B5-4E78-9F70-D0CE9550C788}">
  <sheetPr codeName="Sheet9">
    <tabColor rgb="FFC62828"/>
  </sheetPr>
  <dimension ref="A1:K26"/>
  <sheetViews>
    <sheetView topLeftCell="A13" zoomScaleNormal="100" workbookViewId="0">
      <selection sqref="A1:K26"/>
    </sheetView>
  </sheetViews>
  <sheetFormatPr defaultColWidth="7.625" defaultRowHeight="15"/>
  <cols>
    <col min="1" max="1" width="8.75" style="65" customWidth="1"/>
    <col min="2" max="2" width="26.25" style="65" customWidth="1"/>
    <col min="3" max="3" width="6.125" style="65" customWidth="1"/>
    <col min="4" max="4" width="11.375" style="65" customWidth="1"/>
    <col min="5" max="5" width="8.75" style="65" customWidth="1"/>
    <col min="6" max="6" width="9.625" style="65" customWidth="1"/>
    <col min="7" max="7" width="13.125" style="65" customWidth="1"/>
    <col min="8" max="8" width="9.625" style="65" customWidth="1"/>
    <col min="9" max="9" width="12.25" style="65" customWidth="1"/>
    <col min="10" max="10" width="8.75" style="65" customWidth="1"/>
    <col min="11" max="11" width="29.75" style="65" customWidth="1"/>
    <col min="12" max="16384" width="7.625" style="65"/>
  </cols>
  <sheetData>
    <row r="1" spans="1:11" ht="31.5" customHeight="1">
      <c r="A1" s="94" t="s">
        <v>358</v>
      </c>
    </row>
    <row r="2" spans="1:11" ht="15" customHeight="1">
      <c r="A2" s="95" t="s">
        <v>359</v>
      </c>
    </row>
    <row r="3" spans="1:11" ht="15.75" customHeight="1">
      <c r="A3" s="96" t="s">
        <v>360</v>
      </c>
    </row>
    <row r="4" spans="1:11" ht="13.5" customHeight="1"/>
    <row r="5" spans="1:11" ht="24" customHeight="1" thickBot="1">
      <c r="A5" s="97" t="s">
        <v>361</v>
      </c>
    </row>
    <row r="6" spans="1:11" ht="15" customHeight="1" thickBot="1">
      <c r="A6" s="98" t="s">
        <v>362</v>
      </c>
      <c r="D6" s="99" t="s">
        <v>363</v>
      </c>
      <c r="G6" s="100" t="s">
        <v>364</v>
      </c>
      <c r="J6" s="101" t="s">
        <v>365</v>
      </c>
    </row>
    <row r="7" spans="1:11" ht="43.5" customHeight="1" thickBot="1">
      <c r="A7" s="102">
        <f>COUNTIF('[2]TABLEAU DE BORD'!$K$4:$K$18,"!! RUPTURE")</f>
        <v>1</v>
      </c>
      <c r="D7" s="103">
        <f>COUNTIF('[2]TABLEAU DE BORD'!$K$4:$K$18,"&gt;&gt; COMMANDER")</f>
        <v>14</v>
      </c>
      <c r="G7" s="104">
        <f>COUNTIF('[2]TABLEAU DE BORD'!$K$4:$K$18,"~ ALERTE")</f>
        <v>0</v>
      </c>
      <c r="J7" s="105">
        <f>COUNTIF('[2]TABLEAU DE BORD'!$K$4:$K$15,"OK")</f>
        <v>9</v>
      </c>
    </row>
    <row r="8" spans="1:11" ht="18" customHeight="1">
      <c r="A8" s="106" t="s">
        <v>366</v>
      </c>
      <c r="D8" s="106" t="s">
        <v>366</v>
      </c>
      <c r="G8" s="106" t="str">
        <f>COUNTIF('[2]TABLEAU DE BORD'!$K$4:$K$18,"~ ALERTE")&amp;" / 15 articles"</f>
        <v>0 / 15 articles</v>
      </c>
      <c r="J8" s="106" t="str">
        <f>COUNTIF('[2]TABLEAU DE BORD'!$K$4:$K$15,"OK")&amp;" / 12 articles"</f>
        <v>9 / 12 articles</v>
      </c>
    </row>
    <row r="9" spans="1:11" ht="9.75" customHeight="1"/>
    <row r="10" spans="1:11" ht="24" customHeight="1" thickBot="1">
      <c r="A10" s="97" t="s">
        <v>367</v>
      </c>
    </row>
    <row r="11" spans="1:11" ht="27.75" customHeight="1" thickBot="1">
      <c r="A11" s="107" t="s">
        <v>56</v>
      </c>
      <c r="B11" s="107" t="s">
        <v>341</v>
      </c>
      <c r="C11" s="107" t="s">
        <v>342</v>
      </c>
      <c r="D11" s="107" t="s">
        <v>368</v>
      </c>
      <c r="E11" s="107" t="s">
        <v>346</v>
      </c>
      <c r="F11" s="107" t="s">
        <v>369</v>
      </c>
      <c r="G11" s="107" t="s">
        <v>350</v>
      </c>
      <c r="H11" s="107" t="s">
        <v>347</v>
      </c>
      <c r="I11" s="107" t="s">
        <v>161</v>
      </c>
      <c r="J11" s="107" t="s">
        <v>370</v>
      </c>
      <c r="K11" s="107" t="s">
        <v>371</v>
      </c>
    </row>
    <row r="12" spans="1:11" ht="21.75" customHeight="1">
      <c r="A12" s="76" t="str">
        <f>'[2]TABLEAU DE BORD'!A4</f>
        <v>ART-001</v>
      </c>
      <c r="B12" s="108" t="str">
        <f>'[2]TABLEAU DE BORD'!B4</f>
        <v>Toner imprimante G030 (noir)</v>
      </c>
      <c r="C12" s="109" t="str">
        <f>'[2]TABLEAU DE BORD'!C4</f>
        <v>Informatique</v>
      </c>
      <c r="D12" s="110">
        <f>'[2]TABLEAU DE BORD'!$F$4</f>
        <v>60</v>
      </c>
      <c r="E12" s="111">
        <f>'[2]TABLEAU DE BORD'!G4</f>
        <v>0</v>
      </c>
      <c r="F12" s="111">
        <f>'[2]TABLEAU DE BORD'!J4</f>
        <v>6.3157894736842106</v>
      </c>
      <c r="G12" s="76" t="str">
        <f>'[2]TABLEAU DE BORD'!K4</f>
        <v>OK</v>
      </c>
      <c r="H12" s="112">
        <f>'[2]TABLEAU DE BORD'!H4</f>
        <v>4500</v>
      </c>
      <c r="I12" s="113">
        <f>'[2]TABLEAU DE BORD'!I4</f>
        <v>270000</v>
      </c>
      <c r="J12" s="114" t="str">
        <f>IF('[2]TABLEAU DE BORD'!K4="!! RUPTURE","1 — CRITIQUE",IF('[2]TABLEAU DE BORD'!K4="&gt;&gt; COMMANDER","2 — URGENT",IF('[2]TABLEAU DE BORD'!K4="~ ALERTE","3 — ATTENTION","4 — Normal")))</f>
        <v>4 — Normal</v>
      </c>
      <c r="K12" s="115" t="str">
        <f>IF('[2]TABLEAU DE BORD'!K4="!! RUPTURE","⛔ BLOQUER sorties — Lancer BC immédiatement",IF('[2]TABLEAU DE BORD'!K4="&gt;&gt; COMMANDER","📋 Émettre BC maintenant (stock ≤ ROP)",IF('[2]TABLEAU DE BORD'!K4="~ ALERTE","⚠ Surveiller — préparer commande sous 3 jours","✔ Aucune action requise")))</f>
        <v>✔ Aucune action requise</v>
      </c>
    </row>
    <row r="13" spans="1:11" ht="21.75" customHeight="1">
      <c r="A13" s="76" t="str">
        <f>'[2]TABLEAU DE BORD'!A5</f>
        <v>ART-002</v>
      </c>
      <c r="B13" s="116" t="str">
        <f>'[2]TABLEAU DE BORD'!B5</f>
        <v>Rame papier A4 80g/m²</v>
      </c>
      <c r="C13" s="117" t="str">
        <f>'[2]TABLEAU DE BORD'!C5</f>
        <v>A</v>
      </c>
      <c r="D13" s="110">
        <f>'[2]TABLEAU DE BORD'!$F$5</f>
        <v>22</v>
      </c>
      <c r="E13" s="118">
        <f>'[2]TABLEAU DE BORD'!G5</f>
        <v>0</v>
      </c>
      <c r="F13" s="118">
        <f>'[2]TABLEAU DE BORD'!J5</f>
        <v>17.263157894736842</v>
      </c>
      <c r="G13" s="76" t="str">
        <f>'[2]TABLEAU DE BORD'!K5</f>
        <v>OK</v>
      </c>
      <c r="H13" s="119">
        <f>'[2]TABLEAU DE BORD'!H5</f>
        <v>850</v>
      </c>
      <c r="I13" s="120">
        <f>'[2]TABLEAU DE BORD'!I5</f>
        <v>18700</v>
      </c>
      <c r="J13" s="114" t="str">
        <f>IF('[2]TABLEAU DE BORD'!K5="!! RUPTURE","1 — CRITIQUE",IF('[2]TABLEAU DE BORD'!K5="&gt;&gt; COMMANDER","2 — URGENT",IF('[2]TABLEAU DE BORD'!K5="~ ALERTE","3 — ATTENTION","4 — Normal")))</f>
        <v>4 — Normal</v>
      </c>
      <c r="K13" s="115" t="str">
        <f>IF('[2]TABLEAU DE BORD'!K5="!! RUPTURE","⛔ BLOQUER sorties — Lancer BC immédiatement",IF('[2]TABLEAU DE BORD'!K5="&gt;&gt; COMMANDER","📋 Émettre BC maintenant (stock ≤ ROP)",IF('[2]TABLEAU DE BORD'!K5="~ ALERTE","⚠ Surveiller — préparer commande sous 3 jours","✔ Aucune action requise")))</f>
        <v>✔ Aucune action requise</v>
      </c>
    </row>
    <row r="14" spans="1:11" ht="21.75" customHeight="1">
      <c r="A14" s="76" t="str">
        <f>'[2]TABLEAU DE BORD'!A6</f>
        <v>ART-003</v>
      </c>
      <c r="B14" s="108" t="str">
        <f>'[2]TABLEAU DE BORD'!B6</f>
        <v>Rame papier A3 80g/m²</v>
      </c>
      <c r="C14" s="109" t="str">
        <f>'[2]TABLEAU DE BORD'!C6</f>
        <v>B</v>
      </c>
      <c r="D14" s="110">
        <f>'[2]TABLEAU DE BORD'!$F$6</f>
        <v>11</v>
      </c>
      <c r="E14" s="111">
        <f>'[2]TABLEAU DE BORD'!G6</f>
        <v>0</v>
      </c>
      <c r="F14" s="111">
        <f>'[2]TABLEAU DE BORD'!J6</f>
        <v>3.6315789473684212</v>
      </c>
      <c r="G14" s="76" t="str">
        <f>'[2]TABLEAU DE BORD'!K6</f>
        <v>OK</v>
      </c>
      <c r="H14" s="112">
        <f>'[2]TABLEAU DE BORD'!H6</f>
        <v>1200</v>
      </c>
      <c r="I14" s="113">
        <f>'[2]TABLEAU DE BORD'!I6</f>
        <v>13200</v>
      </c>
      <c r="J14" s="114" t="str">
        <f>IF('[2]TABLEAU DE BORD'!K6="!! RUPTURE","1 — CRITIQUE",IF('[2]TABLEAU DE BORD'!K6="&gt;&gt; COMMANDER","2 — URGENT",IF('[2]TABLEAU DE BORD'!K6="~ ALERTE","3 — ATTENTION","4 — Normal")))</f>
        <v>4 — Normal</v>
      </c>
      <c r="K14" s="115" t="str">
        <f>IF('[2]TABLEAU DE BORD'!K6="!! RUPTURE","⛔ BLOQUER sorties — Lancer BC immédiatement",IF('[2]TABLEAU DE BORD'!K6="&gt;&gt; COMMANDER","📋 Émettre BC maintenant (stock ≤ ROP)",IF('[2]TABLEAU DE BORD'!K6="~ ALERTE","⚠ Surveiller — préparer commande sous 3 jours","✔ Aucune action requise")))</f>
        <v>✔ Aucune action requise</v>
      </c>
    </row>
    <row r="15" spans="1:11" ht="21.75" customHeight="1">
      <c r="A15" s="76" t="str">
        <f>'[2]TABLEAU DE BORD'!A7</f>
        <v>ART-004</v>
      </c>
      <c r="B15" s="116" t="str">
        <f>'[2]TABLEAU DE BORD'!B7</f>
        <v>Boîte archives carton</v>
      </c>
      <c r="C15" s="117" t="str">
        <f>'[2]TABLEAU DE BORD'!C7</f>
        <v>B</v>
      </c>
      <c r="D15" s="110">
        <f>'[2]TABLEAU DE BORD'!$F$7</f>
        <v>0</v>
      </c>
      <c r="E15" s="118">
        <f>'[2]TABLEAU DE BORD'!G7</f>
        <v>0</v>
      </c>
      <c r="F15" s="118">
        <f>'[2]TABLEAU DE BORD'!J7</f>
        <v>3.1578947368421053</v>
      </c>
      <c r="G15" s="76" t="str">
        <f>'[2]TABLEAU DE BORD'!K7</f>
        <v>!! RUPTURE</v>
      </c>
      <c r="H15" s="119">
        <f>'[2]TABLEAU DE BORD'!H7</f>
        <v>350</v>
      </c>
      <c r="I15" s="120">
        <f>'[2]TABLEAU DE BORD'!I7</f>
        <v>0</v>
      </c>
      <c r="J15" s="114" t="str">
        <f>IF('[2]TABLEAU DE BORD'!K7="!! RUPTURE","1 — CRITIQUE",IF('[2]TABLEAU DE BORD'!K7="&gt;&gt; COMMANDER","2 — URGENT",IF('[2]TABLEAU DE BORD'!K7="~ ALERTE","3 — ATTENTION","4 — Normal")))</f>
        <v>1 — CRITIQUE</v>
      </c>
      <c r="K15" s="115" t="str">
        <f>IF('[2]TABLEAU DE BORD'!K7="!! RUPTURE","⛔ BLOQUER sorties — Lancer BC immédiatement",IF('[2]TABLEAU DE BORD'!K7="&gt;&gt; COMMANDER","📋 Émettre BC maintenant (stock ≤ ROP)",IF('[2]TABLEAU DE BORD'!K7="~ ALERTE","⚠ Surveiller — préparer commande sous 3 jours","✔ Aucune action requise")))</f>
        <v>⛔ BLOQUER sorties — Lancer BC immédiatement</v>
      </c>
    </row>
    <row r="16" spans="1:11" ht="21.75" customHeight="1">
      <c r="A16" s="76" t="str">
        <f>'[2]TABLEAU DE BORD'!A8</f>
        <v>ART-005</v>
      </c>
      <c r="B16" s="108" t="str">
        <f>'[2]TABLEAU DE BORD'!B8</f>
        <v>Agrafeuse de bureau</v>
      </c>
      <c r="C16" s="109" t="str">
        <f>'[2]TABLEAU DE BORD'!C8</f>
        <v>C</v>
      </c>
      <c r="D16" s="110">
        <f>'[2]TABLEAU DE BORD'!$F$8</f>
        <v>2</v>
      </c>
      <c r="E16" s="111">
        <f>'[2]TABLEAU DE BORD'!G8</f>
        <v>0</v>
      </c>
      <c r="F16" s="111">
        <f>'[2]TABLEAU DE BORD'!J8</f>
        <v>0.68421052631578949</v>
      </c>
      <c r="G16" s="76" t="str">
        <f>'[2]TABLEAU DE BORD'!K8</f>
        <v>OK</v>
      </c>
      <c r="H16" s="112">
        <f>'[2]TABLEAU DE BORD'!H8</f>
        <v>280</v>
      </c>
      <c r="I16" s="113">
        <f>'[2]TABLEAU DE BORD'!I8</f>
        <v>560</v>
      </c>
      <c r="J16" s="114" t="str">
        <f>IF('[2]TABLEAU DE BORD'!K8="!! RUPTURE","1 — CRITIQUE",IF('[2]TABLEAU DE BORD'!K8="&gt;&gt; COMMANDER","2 — URGENT",IF('[2]TABLEAU DE BORD'!K8="~ ALERTE","3 — ATTENTION","4 — Normal")))</f>
        <v>4 — Normal</v>
      </c>
      <c r="K16" s="115" t="str">
        <f>IF('[2]TABLEAU DE BORD'!K8="!! RUPTURE","⛔ BLOQUER sorties — Lancer BC immédiatement",IF('[2]TABLEAU DE BORD'!K8="&gt;&gt; COMMANDER","📋 Émettre BC maintenant (stock ≤ ROP)",IF('[2]TABLEAU DE BORD'!K8="~ ALERTE","⚠ Surveiller — préparer commande sous 3 jours","✔ Aucune action requise")))</f>
        <v>✔ Aucune action requise</v>
      </c>
    </row>
    <row r="17" spans="1:11" ht="21.75" customHeight="1">
      <c r="A17" s="76" t="str">
        <f>'[2]TABLEAU DE BORD'!A9</f>
        <v>ART-006</v>
      </c>
      <c r="B17" s="116" t="str">
        <f>'[2]TABLEAU DE BORD'!B9</f>
        <v>Stylos bille boîte/50</v>
      </c>
      <c r="C17" s="117" t="str">
        <f>'[2]TABLEAU DE BORD'!C9</f>
        <v>C</v>
      </c>
      <c r="D17" s="110">
        <f>'[2]TABLEAU DE BORD'!$F$9</f>
        <v>3</v>
      </c>
      <c r="E17" s="118">
        <f>'[2]TABLEAU DE BORD'!G9</f>
        <v>0</v>
      </c>
      <c r="F17" s="118">
        <f>'[2]TABLEAU DE BORD'!J9</f>
        <v>5.3684210526315788</v>
      </c>
      <c r="G17" s="76" t="str">
        <f>'[2]TABLEAU DE BORD'!K9</f>
        <v>&gt;&gt; COMMANDER</v>
      </c>
      <c r="H17" s="119">
        <f>'[2]TABLEAU DE BORD'!H9</f>
        <v>420</v>
      </c>
      <c r="I17" s="120">
        <f>'[2]TABLEAU DE BORD'!I9</f>
        <v>1260</v>
      </c>
      <c r="J17" s="114" t="str">
        <f>IF('[2]TABLEAU DE BORD'!K9="!! RUPTURE","1 — CRITIQUE",IF('[2]TABLEAU DE BORD'!K9="&gt;&gt; COMMANDER","2 — URGENT",IF('[2]TABLEAU DE BORD'!K9="~ ALERTE","3 — ATTENTION","4 — Normal")))</f>
        <v>2 — URGENT</v>
      </c>
      <c r="K17" s="115" t="str">
        <f>IF('[2]TABLEAU DE BORD'!K9="!! RUPTURE","⛔ BLOQUER sorties — Lancer BC immédiatement",IF('[2]TABLEAU DE BORD'!K9="&gt;&gt; COMMANDER","📋 Émettre BC maintenant (stock ≤ ROP)",IF('[2]TABLEAU DE BORD'!K9="~ ALERTE","⚠ Surveiller — préparer commande sous 3 jours","✔ Aucune action requise")))</f>
        <v>📋 Émettre BC maintenant (stock ≤ ROP)</v>
      </c>
    </row>
    <row r="18" spans="1:11" ht="21.75" customHeight="1">
      <c r="A18" s="76" t="str">
        <f>'[2]TABLEAU DE BORD'!A10</f>
        <v>ART-007</v>
      </c>
      <c r="B18" s="108" t="str">
        <f>'[2]TABLEAU DE BORD'!B10</f>
        <v>Registre grand format 5m</v>
      </c>
      <c r="C18" s="109" t="str">
        <f>'[2]TABLEAU DE BORD'!C10</f>
        <v>C</v>
      </c>
      <c r="D18" s="110">
        <f>'[2]TABLEAU DE BORD'!$F$10</f>
        <v>3</v>
      </c>
      <c r="E18" s="111">
        <f>'[2]TABLEAU DE BORD'!G10</f>
        <v>0</v>
      </c>
      <c r="F18" s="111">
        <f>'[2]TABLEAU DE BORD'!J10</f>
        <v>1.1578947368421053</v>
      </c>
      <c r="G18" s="76" t="str">
        <f>'[2]TABLEAU DE BORD'!K10</f>
        <v>OK</v>
      </c>
      <c r="H18" s="112">
        <f>'[2]TABLEAU DE BORD'!H10</f>
        <v>680</v>
      </c>
      <c r="I18" s="113">
        <f>'[2]TABLEAU DE BORD'!I10</f>
        <v>2040</v>
      </c>
      <c r="J18" s="114" t="str">
        <f>IF('[2]TABLEAU DE BORD'!K10="!! RUPTURE","1 — CRITIQUE",IF('[2]TABLEAU DE BORD'!K10="&gt;&gt; COMMANDER","2 — URGENT",IF('[2]TABLEAU DE BORD'!K10="~ ALERTE","3 — ATTENTION","4 — Normal")))</f>
        <v>4 — Normal</v>
      </c>
      <c r="K18" s="115" t="str">
        <f>IF('[2]TABLEAU DE BORD'!K10="!! RUPTURE","⛔ BLOQUER sorties — Lancer BC immédiatement",IF('[2]TABLEAU DE BORD'!K10="&gt;&gt; COMMANDER","📋 Émettre BC maintenant (stock ≤ ROP)",IF('[2]TABLEAU DE BORD'!K10="~ ALERTE","⚠ Surveiller — préparer commande sous 3 jours","✔ Aucune action requise")))</f>
        <v>✔ Aucune action requise</v>
      </c>
    </row>
    <row r="19" spans="1:11" ht="21.75" customHeight="1">
      <c r="A19" s="76" t="str">
        <f>'[2]TABLEAU DE BORD'!A11</f>
        <v>ART-008</v>
      </c>
      <c r="B19" s="116" t="str">
        <f>'[2]TABLEAU DE BORD'!B11</f>
        <v>Encre tampon</v>
      </c>
      <c r="C19" s="117" t="str">
        <f>'[2]TABLEAU DE BORD'!C11</f>
        <v>C</v>
      </c>
      <c r="D19" s="110">
        <f>'[2]TABLEAU DE BORD'!$F$11</f>
        <v>2</v>
      </c>
      <c r="E19" s="118">
        <f>'[2]TABLEAU DE BORD'!G11</f>
        <v>0</v>
      </c>
      <c r="F19" s="118">
        <f>'[2]TABLEAU DE BORD'!J11</f>
        <v>0.42105263157894735</v>
      </c>
      <c r="G19" s="76" t="str">
        <f>'[2]TABLEAU DE BORD'!K11</f>
        <v>OK</v>
      </c>
      <c r="H19" s="119">
        <f>'[2]TABLEAU DE BORD'!H11</f>
        <v>180</v>
      </c>
      <c r="I19" s="120">
        <f>'[2]TABLEAU DE BORD'!I11</f>
        <v>360</v>
      </c>
      <c r="J19" s="114" t="str">
        <f>IF('[2]TABLEAU DE BORD'!K11="!! RUPTURE","1 — CRITIQUE",IF('[2]TABLEAU DE BORD'!K11="&gt;&gt; COMMANDER","2 — URGENT",IF('[2]TABLEAU DE BORD'!K11="~ ALERTE","3 — ATTENTION","4 — Normal")))</f>
        <v>4 — Normal</v>
      </c>
      <c r="K19" s="115" t="str">
        <f>IF('[2]TABLEAU DE BORD'!K11="!! RUPTURE","⛔ BLOQUER sorties — Lancer BC immédiatement",IF('[2]TABLEAU DE BORD'!K11="&gt;&gt; COMMANDER","📋 Émettre BC maintenant (stock ≤ ROP)",IF('[2]TABLEAU DE BORD'!K11="~ ALERTE","⚠ Surveiller — préparer commande sous 3 jours","✔ Aucune action requise")))</f>
        <v>✔ Aucune action requise</v>
      </c>
    </row>
    <row r="20" spans="1:11" ht="21.75" customHeight="1">
      <c r="A20" s="76" t="str">
        <f>'[2]TABLEAU DE BORD'!A12</f>
        <v>ART-009</v>
      </c>
      <c r="B20" s="108" t="str">
        <f>'[2]TABLEAU DE BORD'!B12</f>
        <v>Sous-chemise carton</v>
      </c>
      <c r="C20" s="109" t="str">
        <f>'[2]TABLEAU DE BORD'!C12</f>
        <v>C</v>
      </c>
      <c r="D20" s="110">
        <f>'[2]TABLEAU DE BORD'!$F$12</f>
        <v>5</v>
      </c>
      <c r="E20" s="111">
        <f>'[2]TABLEAU DE BORD'!G12</f>
        <v>0</v>
      </c>
      <c r="F20" s="111">
        <f>'[2]TABLEAU DE BORD'!J12</f>
        <v>6.5789473684210522</v>
      </c>
      <c r="G20" s="76" t="str">
        <f>'[2]TABLEAU DE BORD'!K12</f>
        <v>&gt;&gt; COMMANDER</v>
      </c>
      <c r="H20" s="112">
        <f>'[2]TABLEAU DE BORD'!H12</f>
        <v>95</v>
      </c>
      <c r="I20" s="113">
        <f>'[2]TABLEAU DE BORD'!I12</f>
        <v>475</v>
      </c>
      <c r="J20" s="114" t="str">
        <f>IF('[2]TABLEAU DE BORD'!K12="!! RUPTURE","1 — CRITIQUE",IF('[2]TABLEAU DE BORD'!K12="&gt;&gt; COMMANDER","2 — URGENT",IF('[2]TABLEAU DE BORD'!K12="~ ALERTE","3 — ATTENTION","4 — Normal")))</f>
        <v>2 — URGENT</v>
      </c>
      <c r="K20" s="115" t="str">
        <f>IF('[2]TABLEAU DE BORD'!K12="!! RUPTURE","⛔ BLOQUER sorties — Lancer BC immédiatement",IF('[2]TABLEAU DE BORD'!K12="&gt;&gt; COMMANDER","📋 Émettre BC maintenant (stock ≤ ROP)",IF('[2]TABLEAU DE BORD'!K12="~ ALERTE","⚠ Surveiller — préparer commande sous 3 jours","✔ Aucune action requise")))</f>
        <v>📋 Émettre BC maintenant (stock ≤ ROP)</v>
      </c>
    </row>
    <row r="21" spans="1:11" ht="21.75" customHeight="1">
      <c r="A21" s="76" t="str">
        <f>'[2]TABLEAU DE BORD'!A13</f>
        <v>ART-010</v>
      </c>
      <c r="B21" s="116" t="str">
        <f>'[2]TABLEAU DE BORD'!B13</f>
        <v>Chemise cartonnée</v>
      </c>
      <c r="C21" s="117" t="str">
        <f>'[2]TABLEAU DE BORD'!C13</f>
        <v>C</v>
      </c>
      <c r="D21" s="110">
        <f>'[2]TABLEAU DE BORD'!$F$13</f>
        <v>7</v>
      </c>
      <c r="E21" s="118">
        <f>'[2]TABLEAU DE BORD'!G13</f>
        <v>0</v>
      </c>
      <c r="F21" s="118">
        <f>'[2]TABLEAU DE BORD'!J13</f>
        <v>4.8947368421052628</v>
      </c>
      <c r="G21" s="76" t="str">
        <f>'[2]TABLEAU DE BORD'!K13</f>
        <v>OK</v>
      </c>
      <c r="H21" s="119">
        <f>'[2]TABLEAU DE BORD'!H13</f>
        <v>120</v>
      </c>
      <c r="I21" s="120">
        <f>'[2]TABLEAU DE BORD'!I13</f>
        <v>840</v>
      </c>
      <c r="J21" s="114" t="str">
        <f>IF('[2]TABLEAU DE BORD'!K13="!! RUPTURE","1 — CRITIQUE",IF('[2]TABLEAU DE BORD'!K13="&gt;&gt; COMMANDER","2 — URGENT",IF('[2]TABLEAU DE BORD'!K13="~ ALERTE","3 — ATTENTION","4 — Normal")))</f>
        <v>4 — Normal</v>
      </c>
      <c r="K21" s="115" t="str">
        <f>IF('[2]TABLEAU DE BORD'!K13="!! RUPTURE","⛔ BLOQUER sorties — Lancer BC immédiatement",IF('[2]TABLEAU DE BORD'!K13="&gt;&gt; COMMANDER","📋 Émettre BC maintenant (stock ≤ ROP)",IF('[2]TABLEAU DE BORD'!K13="~ ALERTE","⚠ Surveiller — préparer commande sous 3 jours","✔ Aucune action requise")))</f>
        <v>✔ Aucune action requise</v>
      </c>
    </row>
    <row r="22" spans="1:11" ht="21.75" customHeight="1">
      <c r="A22" s="76" t="str">
        <f>'[2]TABLEAU DE BORD'!A14</f>
        <v>ART-011</v>
      </c>
      <c r="B22" s="108" t="str">
        <f>'[2]TABLEAU DE BORD'!B14</f>
        <v>Rouleau papier fax</v>
      </c>
      <c r="C22" s="109" t="str">
        <f>'[2]TABLEAU DE BORD'!C14</f>
        <v>C</v>
      </c>
      <c r="D22" s="110">
        <f>'[2]TABLEAU DE BORD'!$F$14</f>
        <v>3</v>
      </c>
      <c r="E22" s="111">
        <f>'[2]TABLEAU DE BORD'!G14</f>
        <v>0</v>
      </c>
      <c r="F22" s="111">
        <f>'[2]TABLEAU DE BORD'!J14</f>
        <v>0.26315789473684209</v>
      </c>
      <c r="G22" s="76" t="str">
        <f>'[2]TABLEAU DE BORD'!K14</f>
        <v>OK</v>
      </c>
      <c r="H22" s="112">
        <f>'[2]TABLEAU DE BORD'!H14</f>
        <v>550</v>
      </c>
      <c r="I22" s="113">
        <f>'[2]TABLEAU DE BORD'!I14</f>
        <v>1650</v>
      </c>
      <c r="J22" s="114" t="str">
        <f>IF('[2]TABLEAU DE BORD'!K14="!! RUPTURE","1 — CRITIQUE",IF('[2]TABLEAU DE BORD'!K14="&gt;&gt; COMMANDER","2 — URGENT",IF('[2]TABLEAU DE BORD'!K14="~ ALERTE","3 — ATTENTION","4 — Normal")))</f>
        <v>4 — Normal</v>
      </c>
      <c r="K22" s="115" t="str">
        <f>IF('[2]TABLEAU DE BORD'!K14="!! RUPTURE","⛔ BLOQUER sorties — Lancer BC immédiatement",IF('[2]TABLEAU DE BORD'!K14="&gt;&gt; COMMANDER","📋 Émettre BC maintenant (stock ≤ ROP)",IF('[2]TABLEAU DE BORD'!K14="~ ALERTE","⚠ Surveiller — préparer commande sous 3 jours","✔ Aucune action requise")))</f>
        <v>✔ Aucune action requise</v>
      </c>
    </row>
    <row r="23" spans="1:11" ht="21.75" customHeight="1">
      <c r="A23" s="76" t="str">
        <f>'[2]TABLEAU DE BORD'!A15</f>
        <v>ART-012</v>
      </c>
      <c r="B23" s="116" t="str">
        <f>'[2]TABLEAU DE BORD'!B15</f>
        <v>Marqueur permanent noir</v>
      </c>
      <c r="C23" s="117" t="str">
        <f>'[2]TABLEAU DE BORD'!C15</f>
        <v>C</v>
      </c>
      <c r="D23" s="110">
        <f>'[2]TABLEAU DE BORD'!$F$15</f>
        <v>5</v>
      </c>
      <c r="E23" s="118">
        <f>'[2]TABLEAU DE BORD'!G15</f>
        <v>0</v>
      </c>
      <c r="F23" s="118">
        <f>'[2]TABLEAU DE BORD'!J15</f>
        <v>1.5789473684210527</v>
      </c>
      <c r="G23" s="76" t="str">
        <f>'[2]TABLEAU DE BORD'!K15</f>
        <v>OK</v>
      </c>
      <c r="H23" s="119">
        <f>'[2]TABLEAU DE BORD'!H15</f>
        <v>230</v>
      </c>
      <c r="I23" s="120">
        <f>'[2]TABLEAU DE BORD'!I15</f>
        <v>1150</v>
      </c>
      <c r="J23" s="114" t="str">
        <f>IF('[2]TABLEAU DE BORD'!K15="!! RUPTURE","1 — CRITIQUE",IF('[2]TABLEAU DE BORD'!K15="&gt;&gt; COMMANDER","2 — URGENT",IF('[2]TABLEAU DE BORD'!K15="~ ALERTE","3 — ATTENTION","4 — Normal")))</f>
        <v>4 — Normal</v>
      </c>
      <c r="K23" s="115" t="str">
        <f>IF('[2]TABLEAU DE BORD'!K15="!! RUPTURE","⛔ BLOQUER sorties — Lancer BC immédiatement",IF('[2]TABLEAU DE BORD'!K15="&gt;&gt; COMMANDER","📋 Émettre BC maintenant (stock ≤ ROP)",IF('[2]TABLEAU DE BORD'!K15="~ ALERTE","⚠ Surveiller — préparer commande sous 3 jours","✔ Aucune action requise")))</f>
        <v>✔ Aucune action requise</v>
      </c>
    </row>
    <row r="24" spans="1:11">
      <c r="A24" s="65" t="str">
        <f>'[2]TABLEAU DE BORD'!A16</f>
        <v>ART-013</v>
      </c>
      <c r="B24" s="65" t="str">
        <f>'[2]TABLEAU DE BORD'!B16</f>
        <v>Encre pour cachets</v>
      </c>
      <c r="C24" s="65" t="str">
        <f>'[2]TABLEAU DE BORD'!C16</f>
        <v>C</v>
      </c>
      <c r="D24" s="65">
        <f>'[2]TABLEAU DE BORD'!$F$16</f>
        <v>3</v>
      </c>
      <c r="E24" s="65">
        <f>'[2]TABLEAU DE BORD'!G16</f>
        <v>0</v>
      </c>
      <c r="F24" s="65">
        <f>'[2]TABLEAU DE BORD'!J16</f>
        <v>0.26315789473684209</v>
      </c>
      <c r="G24" s="65" t="str">
        <f>'[2]TABLEAU DE BORD'!K16</f>
        <v>OK</v>
      </c>
      <c r="H24" s="65">
        <f>'[2]TABLEAU DE BORD'!H16</f>
        <v>450</v>
      </c>
      <c r="I24" s="65">
        <f>'[2]TABLEAU DE BORD'!I16</f>
        <v>1350</v>
      </c>
    </row>
    <row r="25" spans="1:11" ht="15" customHeight="1">
      <c r="A25" s="121" t="str">
        <f>'[2]TABLEAU DE BORD'!A17</f>
        <v>ART-014</v>
      </c>
      <c r="B25" s="65" t="str">
        <f>'[2]TABLEAU DE BORD'!B17</f>
        <v>Classeur à levier</v>
      </c>
      <c r="C25" s="65" t="str">
        <f>'[2]TABLEAU DE BORD'!C17</f>
        <v>C</v>
      </c>
      <c r="D25" s="65">
        <f>'[2]TABLEAU DE BORD'!$F$17</f>
        <v>2</v>
      </c>
      <c r="E25" s="65">
        <f>'[2]TABLEAU DE BORD'!G17</f>
        <v>0</v>
      </c>
      <c r="F25" s="65">
        <f>'[2]TABLEAU DE BORD'!J17</f>
        <v>0.42105263157894735</v>
      </c>
      <c r="G25" s="65" t="str">
        <f>'[2]TABLEAU DE BORD'!K17</f>
        <v>OK</v>
      </c>
      <c r="H25" s="65">
        <f>'[2]TABLEAU DE BORD'!H17</f>
        <v>550</v>
      </c>
      <c r="I25" s="65">
        <f>'[2]TABLEAU DE BORD'!I17</f>
        <v>1100</v>
      </c>
    </row>
    <row r="26" spans="1:11">
      <c r="A26" s="65" t="str">
        <f>'[2]TABLEAU DE BORD'!A18</f>
        <v>ART-015</v>
      </c>
      <c r="B26" s="65" t="str">
        <f>'[2]TABLEAU DE BORD'!B18</f>
        <v>Cartouche toner générique</v>
      </c>
      <c r="C26" s="65" t="str">
        <f>'[2]TABLEAU DE BORD'!C18</f>
        <v>B</v>
      </c>
      <c r="D26" s="65">
        <f>'[2]TABLEAU DE BORD'!$F$18</f>
        <v>11</v>
      </c>
      <c r="E26" s="65">
        <f>'[2]TABLEAU DE BORD'!G18</f>
        <v>0</v>
      </c>
      <c r="F26" s="65">
        <f>'[2]TABLEAU DE BORD'!J18</f>
        <v>1</v>
      </c>
      <c r="G26" s="65" t="str">
        <f>'[2]TABLEAU DE BORD'!K18</f>
        <v>OK</v>
      </c>
      <c r="H26" s="65">
        <f>'[2]TABLEAU DE BORD'!H18</f>
        <v>4500</v>
      </c>
      <c r="I26" s="65">
        <f>'[2]TABLEAU DE BORD'!I18</f>
        <v>49500</v>
      </c>
    </row>
  </sheetData>
  <sheetProtection algorithmName="SHA-512" hashValue="5gaAJ3UISN2YiLh5/k7G0BRFsqD5LptUnHaMwv74lWEZqVjyenI86IN7VyNy7PENFnq4U2LW0zqyKFWpmk/1ug==" saltValue="EVWQKhT8PYzgkqudop/OLw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6F4D4-EFF7-45E7-B6FD-A380C025B2D2}">
  <sheetPr codeName="Sheet10">
    <tabColor rgb="FF4A148C"/>
  </sheetPr>
  <dimension ref="A1:G19"/>
  <sheetViews>
    <sheetView zoomScaleNormal="100" workbookViewId="0">
      <selection sqref="A1:G17"/>
    </sheetView>
  </sheetViews>
  <sheetFormatPr defaultColWidth="7.625" defaultRowHeight="15"/>
  <cols>
    <col min="1" max="1" width="9.625" style="65" customWidth="1"/>
    <col min="2" max="2" width="28" style="65" customWidth="1"/>
    <col min="3" max="4" width="17.5" style="65" customWidth="1"/>
    <col min="5" max="5" width="14" style="65" customWidth="1"/>
    <col min="6" max="6" width="8.75" style="65" customWidth="1"/>
    <col min="7" max="7" width="12.25" style="65" customWidth="1"/>
    <col min="8" max="16384" width="7.625" style="65"/>
  </cols>
  <sheetData>
    <row r="1" spans="1:7" ht="27.75" customHeight="1" thickBot="1">
      <c r="A1" s="246" t="s">
        <v>372</v>
      </c>
      <c r="B1" s="244"/>
      <c r="C1" s="244"/>
      <c r="D1" s="244"/>
      <c r="E1" s="244"/>
      <c r="F1" s="244"/>
      <c r="G1" s="244"/>
    </row>
    <row r="2" spans="1:7" ht="39.75" customHeight="1" thickBot="1">
      <c r="A2" s="122" t="s">
        <v>56</v>
      </c>
      <c r="B2" s="122" t="s">
        <v>341</v>
      </c>
      <c r="C2" s="122" t="s">
        <v>373</v>
      </c>
      <c r="D2" s="122" t="s">
        <v>374</v>
      </c>
      <c r="E2" s="122" t="s">
        <v>375</v>
      </c>
      <c r="F2" s="122" t="s">
        <v>376</v>
      </c>
      <c r="G2" s="122" t="s">
        <v>350</v>
      </c>
    </row>
    <row r="3" spans="1:7" ht="15" customHeight="1">
      <c r="A3" s="123" t="s">
        <v>1</v>
      </c>
      <c r="B3" s="108" t="str">
        <f>IFERROR(VLOOKUP(A3,[2]ARTICLES!$A$2:$G$347,2,0),"")</f>
        <v>Toner imprimante G030 (noir)</v>
      </c>
      <c r="C3" s="111">
        <f>IFERROR(SUMIFS([2]MOUVEMENTS!E:E,[2]MOUVEMENTS!B:B,A3,[2]MOUVEMENTS!D:D,CHAR(73)&amp;CHAR(78)),0)-IFERROR(SUMIFS([2]MOUVEMENTS!E:E,[2]MOUVEMENTS!B:B,A3,[2]MOUVEMENTS!D:D,CHAR(79)&amp;CHAR(85)&amp;CHAR(84)),0)</f>
        <v>60</v>
      </c>
      <c r="D3" s="111"/>
      <c r="E3" s="111">
        <f t="shared" ref="E3:E13" si="0">IFERROR(D3-C3,"—")</f>
        <v>-60</v>
      </c>
      <c r="F3" s="124">
        <f t="shared" ref="F3:F13" si="1">IFERROR(E3/C3,"—")</f>
        <v>-1</v>
      </c>
      <c r="G3" s="123" t="str">
        <f t="shared" ref="G3:G13" si="2">IF(D3="","⏳ À compter",IF(E3=0,"✔ Conforme",IF(ABS(E3)&gt;0,"⚠ Écart","—")))</f>
        <v>⏳ À compter</v>
      </c>
    </row>
    <row r="4" spans="1:7" ht="15" customHeight="1">
      <c r="A4" s="125" t="s">
        <v>7</v>
      </c>
      <c r="B4" s="116" t="str">
        <f>IFERROR(VLOOKUP(A4,[2]ARTICLES!$A$2:$G$347,2,0),"")</f>
        <v>Rame papier A4 80g/m²</v>
      </c>
      <c r="C4" s="118">
        <f>IFERROR(SUMIFS([2]MOUVEMENTS!E:E,[2]MOUVEMENTS!B:B,A4,[2]MOUVEMENTS!D:D,CHAR(73)&amp;CHAR(78)),0)-IFERROR(SUMIFS([2]MOUVEMENTS!E:E,[2]MOUVEMENTS!B:B,A4,[2]MOUVEMENTS!D:D,CHAR(79)&amp;CHAR(85)&amp;CHAR(84)),0)</f>
        <v>22</v>
      </c>
      <c r="D4" s="118"/>
      <c r="E4" s="118">
        <f t="shared" si="0"/>
        <v>-22</v>
      </c>
      <c r="F4" s="126">
        <f t="shared" si="1"/>
        <v>-1</v>
      </c>
      <c r="G4" s="125" t="str">
        <f t="shared" si="2"/>
        <v>⏳ À compter</v>
      </c>
    </row>
    <row r="5" spans="1:7" ht="15" customHeight="1">
      <c r="A5" s="123" t="s">
        <v>12</v>
      </c>
      <c r="B5" s="108" t="str">
        <f>IFERROR(VLOOKUP(A5,[2]ARTICLES!$A$2:$G$347,2,0),"")</f>
        <v>Rame papier A3 80g/m²</v>
      </c>
      <c r="C5" s="111">
        <f>IFERROR(SUMIFS([2]MOUVEMENTS!E:E,[2]MOUVEMENTS!B:B,A5,[2]MOUVEMENTS!D:D,CHAR(73)&amp;CHAR(78)),0)-IFERROR(SUMIFS([2]MOUVEMENTS!E:E,[2]MOUVEMENTS!B:B,A5,[2]MOUVEMENTS!D:D,CHAR(79)&amp;CHAR(85)&amp;CHAR(84)),0)</f>
        <v>11</v>
      </c>
      <c r="D5" s="111"/>
      <c r="E5" s="111">
        <f t="shared" si="0"/>
        <v>-11</v>
      </c>
      <c r="F5" s="124">
        <f t="shared" si="1"/>
        <v>-1</v>
      </c>
      <c r="G5" s="123" t="str">
        <f t="shared" si="2"/>
        <v>⏳ À compter</v>
      </c>
    </row>
    <row r="6" spans="1:7" ht="15" customHeight="1">
      <c r="A6" s="125" t="s">
        <v>16</v>
      </c>
      <c r="B6" s="116" t="str">
        <f>IFERROR(VLOOKUP(A6,[2]ARTICLES!$A$2:$G$347,2,0),"")</f>
        <v>Boîte archives carton</v>
      </c>
      <c r="C6" s="118">
        <f>IFERROR(SUMIFS([2]MOUVEMENTS!E:E,[2]MOUVEMENTS!B:B,A6,[2]MOUVEMENTS!D:D,CHAR(73)&amp;CHAR(78)),0)-IFERROR(SUMIFS([2]MOUVEMENTS!E:E,[2]MOUVEMENTS!B:B,A6,[2]MOUVEMENTS!D:D,CHAR(79)&amp;CHAR(85)&amp;CHAR(84)),0)</f>
        <v>0</v>
      </c>
      <c r="D6" s="118"/>
      <c r="E6" s="118">
        <f t="shared" si="0"/>
        <v>0</v>
      </c>
      <c r="F6" s="126" t="str">
        <f t="shared" si="1"/>
        <v>—</v>
      </c>
      <c r="G6" s="125" t="str">
        <f t="shared" si="2"/>
        <v>⏳ À compter</v>
      </c>
    </row>
    <row r="7" spans="1:7" ht="15" customHeight="1">
      <c r="A7" s="123" t="s">
        <v>21</v>
      </c>
      <c r="B7" s="108" t="str">
        <f>IFERROR(VLOOKUP(A7,[2]ARTICLES!$A$2:$G$347,2,0),"")</f>
        <v>Agrafeuse de bureau</v>
      </c>
      <c r="C7" s="111">
        <f>IFERROR(SUMIFS([2]MOUVEMENTS!E:E,[2]MOUVEMENTS!B:B,A7,[2]MOUVEMENTS!D:D,CHAR(73)&amp;CHAR(78)),0)-IFERROR(SUMIFS([2]MOUVEMENTS!E:E,[2]MOUVEMENTS!B:B,A7,[2]MOUVEMENTS!D:D,CHAR(79)&amp;CHAR(85)&amp;CHAR(84)),0)</f>
        <v>2</v>
      </c>
      <c r="D7" s="111"/>
      <c r="E7" s="111">
        <f t="shared" si="0"/>
        <v>-2</v>
      </c>
      <c r="F7" s="124">
        <f t="shared" si="1"/>
        <v>-1</v>
      </c>
      <c r="G7" s="123" t="str">
        <f t="shared" si="2"/>
        <v>⏳ À compter</v>
      </c>
    </row>
    <row r="8" spans="1:7" ht="15" customHeight="1">
      <c r="A8" s="125" t="s">
        <v>25</v>
      </c>
      <c r="B8" s="116" t="str">
        <f>IFERROR(VLOOKUP(A8,[2]ARTICLES!$A$2:$G$347,2,0),"")</f>
        <v>Stylos bille boîte/50</v>
      </c>
      <c r="C8" s="118">
        <f>IFERROR(SUMIFS([2]MOUVEMENTS!E:E,[2]MOUVEMENTS!B:B,A8,[2]MOUVEMENTS!D:D,CHAR(73)&amp;CHAR(78)),0)-IFERROR(SUMIFS([2]MOUVEMENTS!E:E,[2]MOUVEMENTS!B:B,A8,[2]MOUVEMENTS!D:D,CHAR(79)&amp;CHAR(85)&amp;CHAR(84)),0)</f>
        <v>3</v>
      </c>
      <c r="D8" s="118"/>
      <c r="E8" s="118">
        <f t="shared" si="0"/>
        <v>-3</v>
      </c>
      <c r="F8" s="126">
        <f t="shared" si="1"/>
        <v>-1</v>
      </c>
      <c r="G8" s="125" t="str">
        <f t="shared" si="2"/>
        <v>⏳ À compter</v>
      </c>
    </row>
    <row r="9" spans="1:7" ht="15" customHeight="1">
      <c r="A9" s="123" t="s">
        <v>28</v>
      </c>
      <c r="B9" s="108" t="str">
        <f>IFERROR(VLOOKUP(A9,[2]ARTICLES!$A$2:$G$347,2,0),"")</f>
        <v>Registre grand format 5m</v>
      </c>
      <c r="C9" s="111">
        <f>IFERROR(SUMIFS([2]MOUVEMENTS!E:E,[2]MOUVEMENTS!B:B,A9,[2]MOUVEMENTS!D:D,CHAR(73)&amp;CHAR(78)),0)-IFERROR(SUMIFS([2]MOUVEMENTS!E:E,[2]MOUVEMENTS!B:B,A9,[2]MOUVEMENTS!D:D,CHAR(79)&amp;CHAR(85)&amp;CHAR(84)),0)</f>
        <v>3</v>
      </c>
      <c r="D9" s="111"/>
      <c r="E9" s="111">
        <f t="shared" si="0"/>
        <v>-3</v>
      </c>
      <c r="F9" s="124">
        <f t="shared" si="1"/>
        <v>-1</v>
      </c>
      <c r="G9" s="123" t="str">
        <f t="shared" si="2"/>
        <v>⏳ À compter</v>
      </c>
    </row>
    <row r="10" spans="1:7" ht="15" customHeight="1">
      <c r="A10" s="125" t="s">
        <v>31</v>
      </c>
      <c r="B10" s="116" t="str">
        <f>IFERROR(VLOOKUP(A10,[2]ARTICLES!$A$2:$G$347,2,0),"")</f>
        <v>Encre tampon</v>
      </c>
      <c r="C10" s="118">
        <f>IFERROR(SUMIFS([2]MOUVEMENTS!E:E,[2]MOUVEMENTS!B:B,A10,[2]MOUVEMENTS!D:D,CHAR(73)&amp;CHAR(78)),0)-IFERROR(SUMIFS([2]MOUVEMENTS!E:E,[2]MOUVEMENTS!B:B,A10,[2]MOUVEMENTS!D:D,CHAR(79)&amp;CHAR(85)&amp;CHAR(84)),0)</f>
        <v>2</v>
      </c>
      <c r="D10" s="118"/>
      <c r="E10" s="118">
        <f t="shared" si="0"/>
        <v>-2</v>
      </c>
      <c r="F10" s="126">
        <f t="shared" si="1"/>
        <v>-1</v>
      </c>
      <c r="G10" s="125" t="str">
        <f t="shared" si="2"/>
        <v>⏳ À compter</v>
      </c>
    </row>
    <row r="11" spans="1:7" ht="15" customHeight="1">
      <c r="A11" s="123" t="s">
        <v>34</v>
      </c>
      <c r="B11" s="108" t="str">
        <f>IFERROR(VLOOKUP(A11,[2]ARTICLES!$A$2:$G$347,2,0),"")</f>
        <v>Sous-chemise carton</v>
      </c>
      <c r="C11" s="111">
        <f>IFERROR(SUMIFS([2]MOUVEMENTS!E:E,[2]MOUVEMENTS!B:B,A11,[2]MOUVEMENTS!D:D,CHAR(73)&amp;CHAR(78)),0)-IFERROR(SUMIFS([2]MOUVEMENTS!E:E,[2]MOUVEMENTS!B:B,A11,[2]MOUVEMENTS!D:D,CHAR(79)&amp;CHAR(85)&amp;CHAR(84)),0)</f>
        <v>5</v>
      </c>
      <c r="D11" s="111"/>
      <c r="E11" s="111">
        <f t="shared" si="0"/>
        <v>-5</v>
      </c>
      <c r="F11" s="124">
        <f t="shared" si="1"/>
        <v>-1</v>
      </c>
      <c r="G11" s="123" t="str">
        <f t="shared" si="2"/>
        <v>⏳ À compter</v>
      </c>
    </row>
    <row r="12" spans="1:7" ht="15" customHeight="1">
      <c r="A12" s="125" t="s">
        <v>37</v>
      </c>
      <c r="B12" s="116" t="str">
        <f>IFERROR(VLOOKUP(A12,[2]ARTICLES!$A$2:$G$347,2,0),"")</f>
        <v>Chemise cartonnée</v>
      </c>
      <c r="C12" s="118">
        <f>IFERROR(SUMIFS([2]MOUVEMENTS!E:E,[2]MOUVEMENTS!B:B,A12,[2]MOUVEMENTS!D:D,CHAR(73)&amp;CHAR(78)),0)-IFERROR(SUMIFS([2]MOUVEMENTS!E:E,[2]MOUVEMENTS!B:B,A12,[2]MOUVEMENTS!D:D,CHAR(79)&amp;CHAR(85)&amp;CHAR(84)),0)</f>
        <v>7</v>
      </c>
      <c r="D12" s="118"/>
      <c r="E12" s="118">
        <f t="shared" si="0"/>
        <v>-7</v>
      </c>
      <c r="F12" s="126">
        <f t="shared" si="1"/>
        <v>-1</v>
      </c>
      <c r="G12" s="125" t="str">
        <f t="shared" si="2"/>
        <v>⏳ À compter</v>
      </c>
    </row>
    <row r="13" spans="1:7" ht="15" customHeight="1">
      <c r="A13" s="123" t="s">
        <v>40</v>
      </c>
      <c r="B13" s="108" t="str">
        <f>IFERROR(VLOOKUP(A13,[2]ARTICLES!$A$2:$G$347,2,0),"")</f>
        <v>Rouleau papier fax</v>
      </c>
      <c r="C13" s="111">
        <f>IFERROR(SUMIFS([2]MOUVEMENTS!E:E,[2]MOUVEMENTS!B:B,A13,[2]MOUVEMENTS!D:D,CHAR(73)&amp;CHAR(78)),0)-IFERROR(SUMIFS([2]MOUVEMENTS!E:E,[2]MOUVEMENTS!B:B,A13,[2]MOUVEMENTS!D:D,CHAR(79)&amp;CHAR(85)&amp;CHAR(84)),0)</f>
        <v>3</v>
      </c>
      <c r="D13" s="111"/>
      <c r="E13" s="111">
        <f t="shared" si="0"/>
        <v>-3</v>
      </c>
      <c r="F13" s="124">
        <f t="shared" si="1"/>
        <v>-1</v>
      </c>
      <c r="G13" s="123" t="str">
        <f t="shared" si="2"/>
        <v>⏳ À compter</v>
      </c>
    </row>
    <row r="14" spans="1:7" ht="15" customHeight="1">
      <c r="A14" s="125" t="s">
        <v>43</v>
      </c>
      <c r="B14" s="116" t="str">
        <f>IFERROR(VLOOKUP(A14,[2]ARTICLES!$A$2:$G$347,2,0),"")</f>
        <v>Marqueur permanent noir</v>
      </c>
      <c r="C14" s="118">
        <f>IFERROR(SUMIFS([2]MOUVEMENTS!E:E,[2]MOUVEMENTS!B:B,A14,[2]MOUVEMENTS!D:D,CHAR(73)&amp;CHAR(78)),0)-IFERROR(SUMIFS([2]MOUVEMENTS!E:E,[2]MOUVEMENTS!B:B,A14,[2]MOUVEMENTS!D:D,CHAR(79)&amp;CHAR(85)&amp;CHAR(84)),0)</f>
        <v>5</v>
      </c>
      <c r="D14" s="118"/>
      <c r="E14" s="118"/>
      <c r="F14" s="126"/>
      <c r="G14" s="125"/>
    </row>
    <row r="15" spans="1:7">
      <c r="A15" s="65" t="s">
        <v>46</v>
      </c>
      <c r="B15" s="65" t="str">
        <f>IFERROR(VLOOKUP(A15,[2]ARTICLES!$A$2:$G$347,2,0),"")</f>
        <v>Encre pour cachets</v>
      </c>
      <c r="C15" s="65">
        <f>IFERROR(SUMIFS([2]MOUVEMENTS!E:E,[2]MOUVEMENTS!B:B,A15,[2]MOUVEMENTS!D:D,CHAR(73)&amp;CHAR(78)),0)-IFERROR(SUMIFS([2]MOUVEMENTS!E:E,[2]MOUVEMENTS!B:B,A15,[2]MOUVEMENTS!D:D,CHAR(79)&amp;CHAR(85)&amp;CHAR(84)),0)</f>
        <v>3</v>
      </c>
    </row>
    <row r="16" spans="1:7" ht="15" customHeight="1">
      <c r="A16" s="121" t="s">
        <v>49</v>
      </c>
      <c r="B16" s="65" t="str">
        <f>IFERROR(VLOOKUP(A16,[2]ARTICLES!$A$2:$G$347,2,0),"")</f>
        <v>Classeur à levier</v>
      </c>
      <c r="C16" s="65">
        <f>IFERROR(SUMIFS([2]MOUVEMENTS!E:E,[2]MOUVEMENTS!B:B,A16,[2]MOUVEMENTS!D:D,CHAR(73)&amp;CHAR(78)),0)-IFERROR(SUMIFS([2]MOUVEMENTS!E:E,[2]MOUVEMENTS!B:B,A16,[2]MOUVEMENTS!D:D,CHAR(79)&amp;CHAR(85)&amp;CHAR(84)),0)</f>
        <v>2</v>
      </c>
    </row>
    <row r="17" spans="1:3">
      <c r="A17" s="65" t="s">
        <v>52</v>
      </c>
      <c r="B17" s="65" t="str">
        <f>IFERROR(VLOOKUP(A17,[2]ARTICLES!$A$2:$G$347,2,0),"")</f>
        <v>Cartouche toner générique</v>
      </c>
      <c r="C17" s="65">
        <f>IFERROR(SUMIFS([2]MOUVEMENTS!E:E,[2]MOUVEMENTS!B:B,A17,[2]MOUVEMENTS!D:D,CHAR(73)&amp;CHAR(78)),0)-IFERROR(SUMIFS([2]MOUVEMENTS!E:E,[2]MOUVEMENTS!B:B,A17,[2]MOUVEMENTS!D:D,CHAR(79)&amp;CHAR(85)&amp;CHAR(84)),0)</f>
        <v>11</v>
      </c>
    </row>
    <row r="19" spans="1:3">
      <c r="A19" s="65" t="s">
        <v>377</v>
      </c>
    </row>
  </sheetData>
  <sheetProtection algorithmName="SHA-512" hashValue="mU68YU7VcnvpmNlCWNmxNP1BkJtbYj+jeF/NPmo1loKeUEMXHkJVyQjUgaDI6Otl8/QTxYK/nHzQ99oqvliaKw==" saltValue="i6Lp+/HanSBLyfvxBQC8tQ==" spinCount="100000" sheet="1" objects="1" scenarios="1" autoFilter="0"/>
  <mergeCells count="1">
    <mergeCell ref="A1:G1"/>
  </mergeCells>
  <printOptions horizontalCentered="1"/>
  <pageMargins left="0.5" right="0.5" top="0.75" bottom="0.75" header="0.3" footer="0.3"/>
  <pageSetup paperSize="9" fitToHeight="0" orientation="portrait" horizontalDpi="300" verticalDpi="300"/>
  <headerFooter>
    <oddHeader>&amp;LERP Acad�mie  -  Direction de l'Education, El Bayadh&amp;C06-06-2026&amp;R[Logo]</oddHeader>
    <oddFooter>&amp;LERP Academie vv13.4&amp;RPage 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E5D65-E1D2-4C47-B769-2120BAE4C29A}">
  <sheetPr codeName="Sheet11">
    <tabColor rgb="FF00695C"/>
  </sheetPr>
  <dimension ref="A1:H88"/>
  <sheetViews>
    <sheetView zoomScaleNormal="100" workbookViewId="0">
      <selection sqref="A1:H80"/>
    </sheetView>
  </sheetViews>
  <sheetFormatPr defaultColWidth="7.625" defaultRowHeight="15"/>
  <cols>
    <col min="1" max="1" width="12.25" style="65" customWidth="1"/>
    <col min="2" max="2" width="26.25" style="65" customWidth="1"/>
    <col min="3" max="6" width="12.25" style="65" customWidth="1"/>
    <col min="7" max="7" width="14" style="65" customWidth="1"/>
    <col min="8" max="8" width="12.25" style="65" customWidth="1"/>
    <col min="9" max="16384" width="7.625" style="65"/>
  </cols>
  <sheetData>
    <row r="1" spans="1:8" ht="27.75" customHeight="1" thickTop="1" thickBot="1">
      <c r="A1" s="127" t="s">
        <v>378</v>
      </c>
    </row>
    <row r="2" spans="1:8" ht="18" customHeight="1" thickTop="1">
      <c r="A2" s="128" t="s">
        <v>379</v>
      </c>
    </row>
    <row r="4" spans="1:8" ht="24" customHeight="1" thickBot="1">
      <c r="A4" s="129" t="s">
        <v>380</v>
      </c>
    </row>
    <row r="5" spans="1:8" ht="21.75" customHeight="1" thickTop="1" thickBot="1">
      <c r="A5" s="130" t="s">
        <v>381</v>
      </c>
      <c r="B5" s="131" t="s">
        <v>382</v>
      </c>
      <c r="C5" s="132" t="s">
        <v>383</v>
      </c>
      <c r="D5" s="131" t="s">
        <v>384</v>
      </c>
      <c r="E5" s="133" t="s">
        <v>385</v>
      </c>
    </row>
    <row r="6" spans="1:8" ht="31.5" customHeight="1" thickTop="1" thickBot="1">
      <c r="A6" s="134" t="s">
        <v>386</v>
      </c>
      <c r="B6" s="134" t="s">
        <v>387</v>
      </c>
      <c r="C6" s="134" t="s">
        <v>388</v>
      </c>
      <c r="D6" s="134" t="s">
        <v>389</v>
      </c>
      <c r="E6" s="134" t="s">
        <v>390</v>
      </c>
      <c r="F6" s="134" t="s">
        <v>391</v>
      </c>
      <c r="G6" s="134" t="s">
        <v>392</v>
      </c>
      <c r="H6" s="134" t="s">
        <v>393</v>
      </c>
    </row>
    <row r="7" spans="1:8" ht="18" customHeight="1">
      <c r="A7" s="135" t="s">
        <v>1</v>
      </c>
      <c r="B7" s="136"/>
      <c r="C7" s="137"/>
      <c r="D7" s="138">
        <f>IFERROR(SUMPRODUCT(([2]MOUVEMENTS!B:B=A7)*([2]MOUVEMENTS!D:D=CHAR(73)&amp;CHAR(78))*([2]MOUVEMENTS!A:A&gt;=B5)*([2]MOUVEMENTS!A:A&lt;=D5)*[2]MOUVEMENTS!E:E),0)</f>
        <v>0</v>
      </c>
      <c r="E7" s="138">
        <f>IFERROR(SUMPRODUCT(([2]MOUVEMENTS!B:B=A7)*([2]MOUVEMENTS!D:D=CHAR(79)&amp;CHAR(85)&amp;CHAR(84))*([2]MOUVEMENTS!A:A&gt;=B5)*([2]MOUVEMENTS!A:A&lt;=D5)*[2]MOUVEMENTS!E:E),0)</f>
        <v>0</v>
      </c>
      <c r="F7" s="139">
        <f t="shared" ref="F7:F21" si="0">D7-E7</f>
        <v>0</v>
      </c>
      <c r="G7" s="138" t="e">
        <f>F7*VLOOKUP(A7,[2]ARTICLES!#REF!,8,0)</f>
        <v>#REF!</v>
      </c>
      <c r="H7" s="135" t="s">
        <v>394</v>
      </c>
    </row>
    <row r="8" spans="1:8" ht="18" customHeight="1">
      <c r="A8" s="140" t="s">
        <v>7</v>
      </c>
      <c r="B8" s="141"/>
      <c r="C8" s="142"/>
      <c r="D8" s="143">
        <f>IFERROR(SUMPRODUCT(([2]MOUVEMENTS!B:B=A8)*([2]MOUVEMENTS!D:D=CHAR(73)&amp;CHAR(78))*([2]MOUVEMENTS!A:A&gt;=B5)*([2]MOUVEMENTS!A:A&lt;=D5)*[2]MOUVEMENTS!E:E),0)</f>
        <v>0</v>
      </c>
      <c r="E8" s="143">
        <f>IFERROR(SUMPRODUCT(([2]MOUVEMENTS!B:B=A8)*([2]MOUVEMENTS!D:D=CHAR(79)&amp;CHAR(85)&amp;CHAR(84))*([2]MOUVEMENTS!A:A&gt;=B5)*([2]MOUVEMENTS!A:A&lt;=D5)*[2]MOUVEMENTS!E:E),0)</f>
        <v>0</v>
      </c>
      <c r="F8" s="144">
        <f t="shared" si="0"/>
        <v>0</v>
      </c>
      <c r="G8" s="143" t="e">
        <f>F8*VLOOKUP(A8,[2]ARTICLES!#REF!,8,0)</f>
        <v>#REF!</v>
      </c>
      <c r="H8" s="140" t="s">
        <v>394</v>
      </c>
    </row>
    <row r="9" spans="1:8" ht="18" customHeight="1">
      <c r="A9" s="135" t="s">
        <v>12</v>
      </c>
      <c r="B9" s="136"/>
      <c r="C9" s="137"/>
      <c r="D9" s="138">
        <f>IFERROR(SUMPRODUCT(([2]MOUVEMENTS!B:B=A9)*([2]MOUVEMENTS!D:D=CHAR(73)&amp;CHAR(78))*([2]MOUVEMENTS!A:A&gt;=B5)*([2]MOUVEMENTS!A:A&lt;=D5)*[2]MOUVEMENTS!E:E),0)</f>
        <v>0</v>
      </c>
      <c r="E9" s="138">
        <f>IFERROR(SUMPRODUCT(([2]MOUVEMENTS!B:B=A9)*([2]MOUVEMENTS!D:D=CHAR(79)&amp;CHAR(85)&amp;CHAR(84))*([2]MOUVEMENTS!A:A&gt;=B5)*([2]MOUVEMENTS!A:A&lt;=D5)*[2]MOUVEMENTS!E:E),0)</f>
        <v>0</v>
      </c>
      <c r="F9" s="139">
        <f t="shared" si="0"/>
        <v>0</v>
      </c>
      <c r="G9" s="138" t="e">
        <f>F9*VLOOKUP(A9,[2]ARTICLES!#REF!,8,0)</f>
        <v>#REF!</v>
      </c>
      <c r="H9" s="135" t="s">
        <v>394</v>
      </c>
    </row>
    <row r="10" spans="1:8" ht="18" customHeight="1">
      <c r="A10" s="140" t="s">
        <v>16</v>
      </c>
      <c r="B10" s="141"/>
      <c r="C10" s="142"/>
      <c r="D10" s="143">
        <f>IFERROR(SUMPRODUCT(([2]MOUVEMENTS!B:B=A10)*([2]MOUVEMENTS!D:D=CHAR(73)&amp;CHAR(78))*([2]MOUVEMENTS!A:A&gt;=B5)*([2]MOUVEMENTS!A:A&lt;=D5)*[2]MOUVEMENTS!E:E),0)</f>
        <v>0</v>
      </c>
      <c r="E10" s="143">
        <f>IFERROR(SUMPRODUCT(([2]MOUVEMENTS!B:B=A10)*([2]MOUVEMENTS!D:D=CHAR(79)&amp;CHAR(85)&amp;CHAR(84))*([2]MOUVEMENTS!A:A&gt;=B5)*([2]MOUVEMENTS!A:A&lt;=D5)*[2]MOUVEMENTS!E:E),0)</f>
        <v>0</v>
      </c>
      <c r="F10" s="144">
        <f t="shared" si="0"/>
        <v>0</v>
      </c>
      <c r="G10" s="143" t="e">
        <f>F10*VLOOKUP(A10,[2]ARTICLES!#REF!,8,0)</f>
        <v>#REF!</v>
      </c>
      <c r="H10" s="140" t="s">
        <v>394</v>
      </c>
    </row>
    <row r="11" spans="1:8" ht="18" customHeight="1">
      <c r="A11" s="135" t="s">
        <v>21</v>
      </c>
      <c r="B11" s="136"/>
      <c r="C11" s="137"/>
      <c r="D11" s="138">
        <f>IFERROR(SUMPRODUCT(([2]MOUVEMENTS!B:B=A11)*([2]MOUVEMENTS!D:D=CHAR(73)&amp;CHAR(78))*([2]MOUVEMENTS!A:A&gt;=B5)*([2]MOUVEMENTS!A:A&lt;=D5)*[2]MOUVEMENTS!E:E),0)</f>
        <v>0</v>
      </c>
      <c r="E11" s="138">
        <f>IFERROR(SUMPRODUCT(([2]MOUVEMENTS!B:B=A11)*([2]MOUVEMENTS!D:D=CHAR(79)&amp;CHAR(85)&amp;CHAR(84))*([2]MOUVEMENTS!A:A&gt;=B5)*([2]MOUVEMENTS!A:A&lt;=D5)*[2]MOUVEMENTS!E:E),0)</f>
        <v>0</v>
      </c>
      <c r="F11" s="139">
        <f t="shared" si="0"/>
        <v>0</v>
      </c>
      <c r="G11" s="138" t="e">
        <f>F11*VLOOKUP(A11,[2]ARTICLES!#REF!,8,0)</f>
        <v>#REF!</v>
      </c>
      <c r="H11" s="135" t="s">
        <v>394</v>
      </c>
    </row>
    <row r="12" spans="1:8" ht="18" customHeight="1">
      <c r="A12" s="140" t="s">
        <v>25</v>
      </c>
      <c r="B12" s="141"/>
      <c r="C12" s="142"/>
      <c r="D12" s="143">
        <f>IFERROR(SUMPRODUCT(([2]MOUVEMENTS!B:B=A12)*([2]MOUVEMENTS!D:D=CHAR(73)&amp;CHAR(78))*([2]MOUVEMENTS!A:A&gt;=B5)*([2]MOUVEMENTS!A:A&lt;=D5)*[2]MOUVEMENTS!E:E),0)</f>
        <v>0</v>
      </c>
      <c r="E12" s="143">
        <f>IFERROR(SUMPRODUCT(([2]MOUVEMENTS!B:B=A12)*([2]MOUVEMENTS!D:D=CHAR(79)&amp;CHAR(85)&amp;CHAR(84))*([2]MOUVEMENTS!A:A&gt;=B5)*([2]MOUVEMENTS!A:A&lt;=D5)*[2]MOUVEMENTS!E:E),0)</f>
        <v>0</v>
      </c>
      <c r="F12" s="144">
        <f t="shared" si="0"/>
        <v>0</v>
      </c>
      <c r="G12" s="143" t="e">
        <f>F12*VLOOKUP(A12,[2]ARTICLES!#REF!,8,0)</f>
        <v>#REF!</v>
      </c>
      <c r="H12" s="140" t="s">
        <v>394</v>
      </c>
    </row>
    <row r="13" spans="1:8" ht="18" customHeight="1">
      <c r="A13" s="135" t="s">
        <v>28</v>
      </c>
      <c r="B13" s="136"/>
      <c r="C13" s="137"/>
      <c r="D13" s="138">
        <f>IFERROR(SUMPRODUCT(([2]MOUVEMENTS!B:B=A13)*([2]MOUVEMENTS!D:D=CHAR(73)&amp;CHAR(78))*([2]MOUVEMENTS!A:A&gt;=B5)*([2]MOUVEMENTS!A:A&lt;=D5)*[2]MOUVEMENTS!E:E),0)</f>
        <v>0</v>
      </c>
      <c r="E13" s="138">
        <f>IFERROR(SUMPRODUCT(([2]MOUVEMENTS!B:B=A13)*([2]MOUVEMENTS!D:D=CHAR(79)&amp;CHAR(85)&amp;CHAR(84))*([2]MOUVEMENTS!A:A&gt;=B5)*([2]MOUVEMENTS!A:A&lt;=D5)*[2]MOUVEMENTS!E:E),0)</f>
        <v>0</v>
      </c>
      <c r="F13" s="139">
        <f t="shared" si="0"/>
        <v>0</v>
      </c>
      <c r="G13" s="138" t="e">
        <f>F13*VLOOKUP(A13,[2]ARTICLES!#REF!,8,0)</f>
        <v>#REF!</v>
      </c>
      <c r="H13" s="135" t="s">
        <v>394</v>
      </c>
    </row>
    <row r="14" spans="1:8" ht="18" customHeight="1">
      <c r="A14" s="140" t="s">
        <v>31</v>
      </c>
      <c r="B14" s="141"/>
      <c r="C14" s="142"/>
      <c r="D14" s="143">
        <f>IFERROR(SUMPRODUCT(([2]MOUVEMENTS!B:B=A14)*([2]MOUVEMENTS!D:D=CHAR(73)&amp;CHAR(78))*([2]MOUVEMENTS!A:A&gt;=B5)*([2]MOUVEMENTS!A:A&lt;=D5)*[2]MOUVEMENTS!E:E),0)</f>
        <v>0</v>
      </c>
      <c r="E14" s="143">
        <f>IFERROR(SUMPRODUCT(([2]MOUVEMENTS!B:B=A14)*([2]MOUVEMENTS!D:D=CHAR(79)&amp;CHAR(85)&amp;CHAR(84))*([2]MOUVEMENTS!A:A&gt;=B5)*([2]MOUVEMENTS!A:A&lt;=D5)*[2]MOUVEMENTS!E:E),0)</f>
        <v>0</v>
      </c>
      <c r="F14" s="144">
        <f t="shared" si="0"/>
        <v>0</v>
      </c>
      <c r="G14" s="143" t="e">
        <f>F14*VLOOKUP(A14,[2]ARTICLES!#REF!,8,0)</f>
        <v>#REF!</v>
      </c>
      <c r="H14" s="140" t="s">
        <v>394</v>
      </c>
    </row>
    <row r="15" spans="1:8" ht="18" customHeight="1">
      <c r="A15" s="135" t="s">
        <v>34</v>
      </c>
      <c r="B15" s="136"/>
      <c r="C15" s="137"/>
      <c r="D15" s="138">
        <f>IFERROR(SUMPRODUCT(([2]MOUVEMENTS!B:B=A15)*([2]MOUVEMENTS!D:D=CHAR(73)&amp;CHAR(78))*([2]MOUVEMENTS!A:A&gt;=B5)*([2]MOUVEMENTS!A:A&lt;=D5)*[2]MOUVEMENTS!E:E),0)</f>
        <v>0</v>
      </c>
      <c r="E15" s="138">
        <f>IFERROR(SUMPRODUCT(([2]MOUVEMENTS!B:B=A15)*([2]MOUVEMENTS!D:D=CHAR(79)&amp;CHAR(85)&amp;CHAR(84))*([2]MOUVEMENTS!A:A&gt;=B5)*([2]MOUVEMENTS!A:A&lt;=D5)*[2]MOUVEMENTS!E:E),0)</f>
        <v>0</v>
      </c>
      <c r="F15" s="139">
        <f t="shared" si="0"/>
        <v>0</v>
      </c>
      <c r="G15" s="138" t="e">
        <f>F15*VLOOKUP(A15,[2]ARTICLES!#REF!,8,0)</f>
        <v>#REF!</v>
      </c>
      <c r="H15" s="135" t="s">
        <v>394</v>
      </c>
    </row>
    <row r="16" spans="1:8" ht="18" customHeight="1">
      <c r="A16" s="140" t="s">
        <v>37</v>
      </c>
      <c r="B16" s="141"/>
      <c r="C16" s="142"/>
      <c r="D16" s="143">
        <f>IFERROR(SUMPRODUCT(([2]MOUVEMENTS!B:B=A16)*([2]MOUVEMENTS!D:D=CHAR(73)&amp;CHAR(78))*([2]MOUVEMENTS!A:A&gt;=B5)*([2]MOUVEMENTS!A:A&lt;=D5)*[2]MOUVEMENTS!E:E),0)</f>
        <v>0</v>
      </c>
      <c r="E16" s="143">
        <f>IFERROR(SUMPRODUCT(([2]MOUVEMENTS!B:B=A16)*([2]MOUVEMENTS!D:D=CHAR(79)&amp;CHAR(85)&amp;CHAR(84))*([2]MOUVEMENTS!A:A&gt;=B5)*([2]MOUVEMENTS!A:A&lt;=D5)*[2]MOUVEMENTS!E:E),0)</f>
        <v>0</v>
      </c>
      <c r="F16" s="144">
        <f t="shared" si="0"/>
        <v>0</v>
      </c>
      <c r="G16" s="143" t="e">
        <f>F16*VLOOKUP(A16,[2]ARTICLES!#REF!,8,0)</f>
        <v>#REF!</v>
      </c>
      <c r="H16" s="140" t="s">
        <v>394</v>
      </c>
    </row>
    <row r="17" spans="1:8" ht="18" customHeight="1">
      <c r="A17" s="135" t="s">
        <v>40</v>
      </c>
      <c r="B17" s="136"/>
      <c r="C17" s="137"/>
      <c r="D17" s="138">
        <f>IFERROR(SUMPRODUCT(([2]MOUVEMENTS!B:B=A17)*([2]MOUVEMENTS!D:D=CHAR(73)&amp;CHAR(78))*([2]MOUVEMENTS!A:A&gt;=B5)*([2]MOUVEMENTS!A:A&lt;=D5)*[2]MOUVEMENTS!E:E),0)</f>
        <v>0</v>
      </c>
      <c r="E17" s="138">
        <f>IFERROR(SUMPRODUCT(([2]MOUVEMENTS!B:B=A17)*([2]MOUVEMENTS!D:D=CHAR(79)&amp;CHAR(85)&amp;CHAR(84))*([2]MOUVEMENTS!A:A&gt;=B5)*([2]MOUVEMENTS!A:A&lt;=D5)*[2]MOUVEMENTS!E:E),0)</f>
        <v>0</v>
      </c>
      <c r="F17" s="139">
        <f t="shared" si="0"/>
        <v>0</v>
      </c>
      <c r="G17" s="138" t="e">
        <f>F17*VLOOKUP(A17,[2]ARTICLES!#REF!,8,0)</f>
        <v>#REF!</v>
      </c>
      <c r="H17" s="135" t="s">
        <v>394</v>
      </c>
    </row>
    <row r="18" spans="1:8" ht="18" customHeight="1" thickBot="1">
      <c r="A18" s="140" t="s">
        <v>43</v>
      </c>
      <c r="B18" s="141"/>
      <c r="C18" s="142"/>
      <c r="D18" s="143">
        <f>IFERROR(SUMPRODUCT(([2]MOUVEMENTS!B:B=A18)*([2]MOUVEMENTS!D:D=CHAR(73)&amp;CHAR(78))*([2]MOUVEMENTS!A:A&gt;=B5)*([2]MOUVEMENTS!A:A&lt;=D5)*[2]MOUVEMENTS!E:E),0)</f>
        <v>0</v>
      </c>
      <c r="E18" s="143">
        <f>IFERROR(SUMPRODUCT(([2]MOUVEMENTS!B:B=A18)*([2]MOUVEMENTS!D:D=CHAR(79)&amp;CHAR(85)&amp;CHAR(84))*([2]MOUVEMENTS!A:A&gt;=B5)*([2]MOUVEMENTS!A:A&lt;=D5)*[2]MOUVEMENTS!E:E),0)</f>
        <v>0</v>
      </c>
      <c r="F18" s="144">
        <f t="shared" si="0"/>
        <v>0</v>
      </c>
      <c r="G18" s="143" t="e">
        <f>F18*VLOOKUP(A18,[2]ARTICLES!#REF!,8,0)</f>
        <v>#REF!</v>
      </c>
      <c r="H18" s="140" t="s">
        <v>394</v>
      </c>
    </row>
    <row r="19" spans="1:8" ht="21.75" customHeight="1" thickBot="1">
      <c r="A19" s="145" t="s">
        <v>46</v>
      </c>
      <c r="B19" s="145"/>
      <c r="D19" s="146">
        <f>IFERROR(SUMPRODUCT(([2]MOUVEMENTS!B:B=A19)*([2]MOUVEMENTS!D:D=CHAR(73)&amp;CHAR(78))*([2]MOUVEMENTS!A:A&gt;=B5)*([2]MOUVEMENTS!A:A&lt;=D5)*[2]MOUVEMENTS!E:E),0)</f>
        <v>0</v>
      </c>
      <c r="E19" s="146">
        <f>IFERROR(SUMPRODUCT(([2]MOUVEMENTS!B:B=A19)*([2]MOUVEMENTS!D:D=CHAR(79)&amp;CHAR(85)&amp;CHAR(84))*([2]MOUVEMENTS!A:A&gt;=B5)*([2]MOUVEMENTS!A:A&lt;=D5)*[2]MOUVEMENTS!E:E),0)</f>
        <v>0</v>
      </c>
      <c r="F19" s="146">
        <f t="shared" si="0"/>
        <v>0</v>
      </c>
      <c r="G19" s="146" t="e">
        <f>F19*VLOOKUP(A19,[2]ARTICLES!#REF!,8,0)</f>
        <v>#REF!</v>
      </c>
      <c r="H19" s="147" t="s">
        <v>394</v>
      </c>
    </row>
    <row r="20" spans="1:8" ht="25.5" customHeight="1" thickBot="1">
      <c r="A20" s="148" t="s">
        <v>49</v>
      </c>
      <c r="D20" s="65">
        <f>IFERROR(SUMPRODUCT(([2]MOUVEMENTS!B:B=A20)*([2]MOUVEMENTS!D:D=CHAR(73)&amp;CHAR(78))*([2]MOUVEMENTS!A:A&gt;=B5)*([2]MOUVEMENTS!A:A&lt;=D5)*[2]MOUVEMENTS!E:E),0)</f>
        <v>0</v>
      </c>
      <c r="E20" s="65">
        <f>IFERROR(SUMPRODUCT(([2]MOUVEMENTS!B:B=A20)*([2]MOUVEMENTS!D:D=CHAR(79)&amp;CHAR(85)&amp;CHAR(84))*([2]MOUVEMENTS!A:A&gt;=B5)*([2]MOUVEMENTS!A:A&lt;=D5)*[2]MOUVEMENTS!E:E),0)</f>
        <v>0</v>
      </c>
      <c r="F20" s="65">
        <f t="shared" si="0"/>
        <v>0</v>
      </c>
      <c r="G20" s="65" t="e">
        <f>F20*VLOOKUP(A20,[2]ARTICLES!#REF!,8,0)</f>
        <v>#REF!</v>
      </c>
      <c r="H20" s="65" t="s">
        <v>394</v>
      </c>
    </row>
    <row r="21" spans="1:8">
      <c r="A21" s="65" t="s">
        <v>52</v>
      </c>
      <c r="D21" s="65">
        <f>IFERROR(SUMPRODUCT(([2]MOUVEMENTS!B:B=A21)*([2]MOUVEMENTS!D:D=CHAR(73)&amp;CHAR(78))*([2]MOUVEMENTS!A:A&gt;=B5)*([2]MOUVEMENTS!A:A&lt;=D5)*[2]MOUVEMENTS!E:E),0)</f>
        <v>0</v>
      </c>
      <c r="E21" s="65">
        <f>IFERROR(SUMPRODUCT(([2]MOUVEMENTS!B:B=A21)*([2]MOUVEMENTS!D:D=CHAR(79)&amp;CHAR(85)&amp;CHAR(84))*([2]MOUVEMENTS!A:A&gt;=B5)*([2]MOUVEMENTS!A:A&lt;=D5)*[2]MOUVEMENTS!E:E),0)</f>
        <v>0</v>
      </c>
      <c r="F21" s="65">
        <f t="shared" si="0"/>
        <v>0</v>
      </c>
      <c r="G21" s="65" t="e">
        <f>F21*VLOOKUP(A21,[2]ARTICLES!#REF!,8,0)</f>
        <v>#REF!</v>
      </c>
      <c r="H21" s="65" t="s">
        <v>394</v>
      </c>
    </row>
    <row r="22" spans="1:8" ht="15.75" thickBot="1">
      <c r="A22" s="65" t="s">
        <v>356</v>
      </c>
      <c r="B22" s="65" t="s">
        <v>395</v>
      </c>
      <c r="D22" s="65">
        <f>SUM(D7:D21)</f>
        <v>0</v>
      </c>
      <c r="E22" s="65">
        <f>SUM(E7:E21)</f>
        <v>0</v>
      </c>
      <c r="F22" s="65">
        <f>SUM(F7:F21)</f>
        <v>0</v>
      </c>
      <c r="G22" s="65" t="e">
        <f>SUM(G7:G21)</f>
        <v>#REF!</v>
      </c>
    </row>
    <row r="23" spans="1:8" ht="24" customHeight="1" thickBot="1">
      <c r="A23" s="129" t="s">
        <v>396</v>
      </c>
    </row>
    <row r="24" spans="1:8" ht="21.75" customHeight="1" thickTop="1" thickBot="1">
      <c r="A24" s="130"/>
      <c r="B24" s="149"/>
      <c r="C24" s="132"/>
      <c r="D24" s="149"/>
      <c r="E24" s="133"/>
    </row>
    <row r="25" spans="1:8" ht="31.5" customHeight="1" thickTop="1" thickBot="1">
      <c r="A25" s="134" t="s">
        <v>397</v>
      </c>
      <c r="B25" s="134"/>
      <c r="C25" s="134"/>
      <c r="D25" s="134"/>
      <c r="E25" s="134"/>
      <c r="F25" s="134"/>
      <c r="G25" s="134"/>
      <c r="H25" s="134"/>
    </row>
    <row r="26" spans="1:8" ht="18" customHeight="1">
      <c r="A26" s="135" t="s">
        <v>381</v>
      </c>
      <c r="B26" s="136" t="s">
        <v>398</v>
      </c>
      <c r="C26" s="137" t="s">
        <v>383</v>
      </c>
      <c r="D26" s="138" t="s">
        <v>384</v>
      </c>
      <c r="E26" s="138" t="s">
        <v>385</v>
      </c>
      <c r="F26" s="139"/>
      <c r="G26" s="138"/>
      <c r="H26" s="135"/>
    </row>
    <row r="27" spans="1:8" ht="18" customHeight="1">
      <c r="A27" s="140" t="s">
        <v>386</v>
      </c>
      <c r="B27" s="141" t="s">
        <v>387</v>
      </c>
      <c r="C27" s="142" t="s">
        <v>388</v>
      </c>
      <c r="D27" s="143" t="s">
        <v>389</v>
      </c>
      <c r="E27" s="143" t="s">
        <v>390</v>
      </c>
      <c r="F27" s="144" t="s">
        <v>391</v>
      </c>
      <c r="G27" s="143" t="s">
        <v>392</v>
      </c>
      <c r="H27" s="140" t="s">
        <v>393</v>
      </c>
    </row>
    <row r="28" spans="1:8" ht="18" customHeight="1">
      <c r="A28" s="135" t="s">
        <v>1</v>
      </c>
      <c r="B28" s="136"/>
      <c r="C28" s="137"/>
      <c r="D28" s="138">
        <f>IFERROR(SUMPRODUCT(([2]MOUVEMENTS!B:B=A28)*([2]MOUVEMENTS!D:D=CHAR(73)&amp;CHAR(78))*([2]MOUVEMENTS!A:A&gt;=B26)*([2]MOUVEMENTS!A:A&lt;=D26)*[2]MOUVEMENTS!E:E),0)</f>
        <v>0</v>
      </c>
      <c r="E28" s="138">
        <f>IFERROR(SUMPRODUCT(([2]MOUVEMENTS!B:B=A28)*([2]MOUVEMENTS!D:D=CHAR(79)&amp;CHAR(85)&amp;CHAR(84))*([2]MOUVEMENTS!A:A&gt;=B26)*([2]MOUVEMENTS!A:A&lt;=D26)*[2]MOUVEMENTS!E:E),0)</f>
        <v>0</v>
      </c>
      <c r="F28" s="139">
        <f t="shared" ref="F28:F42" si="1">D28-E28</f>
        <v>0</v>
      </c>
      <c r="G28" s="138" t="e">
        <f>F28*VLOOKUP(A28,[2]ARTICLES!#REF!,8,0)</f>
        <v>#REF!</v>
      </c>
      <c r="H28" s="135" t="s">
        <v>394</v>
      </c>
    </row>
    <row r="29" spans="1:8" ht="18" customHeight="1">
      <c r="A29" s="140" t="s">
        <v>7</v>
      </c>
      <c r="B29" s="141"/>
      <c r="C29" s="142"/>
      <c r="D29" s="143">
        <f>IFERROR(SUMPRODUCT(([2]MOUVEMENTS!B:B=A29)*([2]MOUVEMENTS!D:D=CHAR(73)&amp;CHAR(78))*([2]MOUVEMENTS!A:A&gt;=B26)*([2]MOUVEMENTS!A:A&lt;=D26)*[2]MOUVEMENTS!E:E),0)</f>
        <v>0</v>
      </c>
      <c r="E29" s="143">
        <f>IFERROR(SUMPRODUCT(([2]MOUVEMENTS!B:B=A29)*([2]MOUVEMENTS!D:D=CHAR(79)&amp;CHAR(85)&amp;CHAR(84))*([2]MOUVEMENTS!A:A&gt;=B26)*([2]MOUVEMENTS!A:A&lt;=D26)*[2]MOUVEMENTS!E:E),0)</f>
        <v>0</v>
      </c>
      <c r="F29" s="144">
        <f t="shared" si="1"/>
        <v>0</v>
      </c>
      <c r="G29" s="143" t="e">
        <f>F29*VLOOKUP(A29,[2]ARTICLES!#REF!,8,0)</f>
        <v>#REF!</v>
      </c>
      <c r="H29" s="140" t="s">
        <v>394</v>
      </c>
    </row>
    <row r="30" spans="1:8" ht="18" customHeight="1">
      <c r="A30" s="135" t="s">
        <v>12</v>
      </c>
      <c r="B30" s="136"/>
      <c r="C30" s="137"/>
      <c r="D30" s="138">
        <f>IFERROR(SUMPRODUCT(([2]MOUVEMENTS!B:B=A30)*([2]MOUVEMENTS!D:D=CHAR(73)&amp;CHAR(78))*([2]MOUVEMENTS!A:A&gt;=B26)*([2]MOUVEMENTS!A:A&lt;=D26)*[2]MOUVEMENTS!E:E),0)</f>
        <v>0</v>
      </c>
      <c r="E30" s="138">
        <f>IFERROR(SUMPRODUCT(([2]MOUVEMENTS!B:B=A30)*([2]MOUVEMENTS!D:D=CHAR(79)&amp;CHAR(85)&amp;CHAR(84))*([2]MOUVEMENTS!A:A&gt;=B26)*([2]MOUVEMENTS!A:A&lt;=D26)*[2]MOUVEMENTS!E:E),0)</f>
        <v>0</v>
      </c>
      <c r="F30" s="139">
        <f t="shared" si="1"/>
        <v>0</v>
      </c>
      <c r="G30" s="138" t="e">
        <f>F30*VLOOKUP(A30,[2]ARTICLES!#REF!,8,0)</f>
        <v>#REF!</v>
      </c>
      <c r="H30" s="135" t="s">
        <v>394</v>
      </c>
    </row>
    <row r="31" spans="1:8" ht="18" customHeight="1">
      <c r="A31" s="140" t="s">
        <v>16</v>
      </c>
      <c r="B31" s="141"/>
      <c r="C31" s="142"/>
      <c r="D31" s="143">
        <f>IFERROR(SUMPRODUCT(([2]MOUVEMENTS!B:B=A31)*([2]MOUVEMENTS!D:D=CHAR(73)&amp;CHAR(78))*([2]MOUVEMENTS!A:A&gt;=B26)*([2]MOUVEMENTS!A:A&lt;=D26)*[2]MOUVEMENTS!E:E),0)</f>
        <v>0</v>
      </c>
      <c r="E31" s="143">
        <f>IFERROR(SUMPRODUCT(([2]MOUVEMENTS!B:B=A31)*([2]MOUVEMENTS!D:D=CHAR(79)&amp;CHAR(85)&amp;CHAR(84))*([2]MOUVEMENTS!A:A&gt;=B26)*([2]MOUVEMENTS!A:A&lt;=D26)*[2]MOUVEMENTS!E:E),0)</f>
        <v>0</v>
      </c>
      <c r="F31" s="144">
        <f t="shared" si="1"/>
        <v>0</v>
      </c>
      <c r="G31" s="143" t="e">
        <f>F31*VLOOKUP(A31,[2]ARTICLES!#REF!,8,0)</f>
        <v>#REF!</v>
      </c>
      <c r="H31" s="140" t="s">
        <v>394</v>
      </c>
    </row>
    <row r="32" spans="1:8" ht="18" customHeight="1">
      <c r="A32" s="135" t="s">
        <v>21</v>
      </c>
      <c r="B32" s="136"/>
      <c r="C32" s="137"/>
      <c r="D32" s="138">
        <f>IFERROR(SUMPRODUCT(([2]MOUVEMENTS!B:B=A32)*([2]MOUVEMENTS!D:D=CHAR(73)&amp;CHAR(78))*([2]MOUVEMENTS!A:A&gt;=B26)*([2]MOUVEMENTS!A:A&lt;=D26)*[2]MOUVEMENTS!E:E),0)</f>
        <v>0</v>
      </c>
      <c r="E32" s="138">
        <f>IFERROR(SUMPRODUCT(([2]MOUVEMENTS!B:B=A32)*([2]MOUVEMENTS!D:D=CHAR(79)&amp;CHAR(85)&amp;CHAR(84))*([2]MOUVEMENTS!A:A&gt;=B26)*([2]MOUVEMENTS!A:A&lt;=D26)*[2]MOUVEMENTS!E:E),0)</f>
        <v>0</v>
      </c>
      <c r="F32" s="139">
        <f t="shared" si="1"/>
        <v>0</v>
      </c>
      <c r="G32" s="138" t="e">
        <f>F32*VLOOKUP(A32,[2]ARTICLES!#REF!,8,0)</f>
        <v>#REF!</v>
      </c>
      <c r="H32" s="135" t="s">
        <v>394</v>
      </c>
    </row>
    <row r="33" spans="1:8" ht="18" customHeight="1">
      <c r="A33" s="140" t="s">
        <v>25</v>
      </c>
      <c r="B33" s="141"/>
      <c r="C33" s="142"/>
      <c r="D33" s="143">
        <f>IFERROR(SUMPRODUCT(([2]MOUVEMENTS!B:B=A33)*([2]MOUVEMENTS!D:D=CHAR(73)&amp;CHAR(78))*([2]MOUVEMENTS!A:A&gt;=B26)*([2]MOUVEMENTS!A:A&lt;=D26)*[2]MOUVEMENTS!E:E),0)</f>
        <v>0</v>
      </c>
      <c r="E33" s="143">
        <f>IFERROR(SUMPRODUCT(([2]MOUVEMENTS!B:B=A33)*([2]MOUVEMENTS!D:D=CHAR(79)&amp;CHAR(85)&amp;CHAR(84))*([2]MOUVEMENTS!A:A&gt;=B26)*([2]MOUVEMENTS!A:A&lt;=D26)*[2]MOUVEMENTS!E:E),0)</f>
        <v>0</v>
      </c>
      <c r="F33" s="144">
        <f t="shared" si="1"/>
        <v>0</v>
      </c>
      <c r="G33" s="143" t="e">
        <f>F33*VLOOKUP(A33,[2]ARTICLES!#REF!,8,0)</f>
        <v>#REF!</v>
      </c>
      <c r="H33" s="140" t="s">
        <v>394</v>
      </c>
    </row>
    <row r="34" spans="1:8" ht="18" customHeight="1">
      <c r="A34" s="135" t="s">
        <v>28</v>
      </c>
      <c r="B34" s="136"/>
      <c r="C34" s="137"/>
      <c r="D34" s="138">
        <f>IFERROR(SUMPRODUCT(([2]MOUVEMENTS!B:B=A34)*([2]MOUVEMENTS!D:D=CHAR(73)&amp;CHAR(78))*([2]MOUVEMENTS!A:A&gt;=B26)*([2]MOUVEMENTS!A:A&lt;=D26)*[2]MOUVEMENTS!E:E),0)</f>
        <v>0</v>
      </c>
      <c r="E34" s="138">
        <f>IFERROR(SUMPRODUCT(([2]MOUVEMENTS!B:B=A34)*([2]MOUVEMENTS!D:D=CHAR(79)&amp;CHAR(85)&amp;CHAR(84))*([2]MOUVEMENTS!A:A&gt;=B26)*([2]MOUVEMENTS!A:A&lt;=D26)*[2]MOUVEMENTS!E:E),0)</f>
        <v>0</v>
      </c>
      <c r="F34" s="139">
        <f t="shared" si="1"/>
        <v>0</v>
      </c>
      <c r="G34" s="138" t="e">
        <f>F34*VLOOKUP(A34,[2]ARTICLES!#REF!,8,0)</f>
        <v>#REF!</v>
      </c>
      <c r="H34" s="135" t="s">
        <v>394</v>
      </c>
    </row>
    <row r="35" spans="1:8" ht="18" customHeight="1">
      <c r="A35" s="140" t="s">
        <v>31</v>
      </c>
      <c r="B35" s="141"/>
      <c r="C35" s="142"/>
      <c r="D35" s="143">
        <f>IFERROR(SUMPRODUCT(([2]MOUVEMENTS!B:B=A35)*([2]MOUVEMENTS!D:D=CHAR(73)&amp;CHAR(78))*([2]MOUVEMENTS!A:A&gt;=B26)*([2]MOUVEMENTS!A:A&lt;=D26)*[2]MOUVEMENTS!E:E),0)</f>
        <v>0</v>
      </c>
      <c r="E35" s="143">
        <f>IFERROR(SUMPRODUCT(([2]MOUVEMENTS!B:B=A35)*([2]MOUVEMENTS!D:D=CHAR(79)&amp;CHAR(85)&amp;CHAR(84))*([2]MOUVEMENTS!A:A&gt;=B26)*([2]MOUVEMENTS!A:A&lt;=D26)*[2]MOUVEMENTS!E:E),0)</f>
        <v>0</v>
      </c>
      <c r="F35" s="144">
        <f t="shared" si="1"/>
        <v>0</v>
      </c>
      <c r="G35" s="143" t="e">
        <f>F35*VLOOKUP(A35,[2]ARTICLES!#REF!,8,0)</f>
        <v>#REF!</v>
      </c>
      <c r="H35" s="140" t="s">
        <v>394</v>
      </c>
    </row>
    <row r="36" spans="1:8" ht="18" customHeight="1">
      <c r="A36" s="135" t="s">
        <v>34</v>
      </c>
      <c r="B36" s="136"/>
      <c r="C36" s="137"/>
      <c r="D36" s="138">
        <f>IFERROR(SUMPRODUCT(([2]MOUVEMENTS!B:B=A36)*([2]MOUVEMENTS!D:D=CHAR(73)&amp;CHAR(78))*([2]MOUVEMENTS!A:A&gt;=B26)*([2]MOUVEMENTS!A:A&lt;=D26)*[2]MOUVEMENTS!E:E),0)</f>
        <v>0</v>
      </c>
      <c r="E36" s="138">
        <f>IFERROR(SUMPRODUCT(([2]MOUVEMENTS!B:B=A36)*([2]MOUVEMENTS!D:D=CHAR(79)&amp;CHAR(85)&amp;CHAR(84))*([2]MOUVEMENTS!A:A&gt;=B26)*([2]MOUVEMENTS!A:A&lt;=D26)*[2]MOUVEMENTS!E:E),0)</f>
        <v>0</v>
      </c>
      <c r="F36" s="139">
        <f t="shared" si="1"/>
        <v>0</v>
      </c>
      <c r="G36" s="138" t="e">
        <f>F36*VLOOKUP(A36,[2]ARTICLES!#REF!,8,0)</f>
        <v>#REF!</v>
      </c>
      <c r="H36" s="135" t="s">
        <v>394</v>
      </c>
    </row>
    <row r="37" spans="1:8" ht="18" customHeight="1" thickBot="1">
      <c r="A37" s="140" t="s">
        <v>37</v>
      </c>
      <c r="B37" s="141"/>
      <c r="C37" s="142"/>
      <c r="D37" s="143">
        <f>IFERROR(SUMPRODUCT(([2]MOUVEMENTS!B:B=A37)*([2]MOUVEMENTS!D:D=CHAR(73)&amp;CHAR(78))*([2]MOUVEMENTS!A:A&gt;=B26)*([2]MOUVEMENTS!A:A&lt;=D26)*[2]MOUVEMENTS!E:E),0)</f>
        <v>0</v>
      </c>
      <c r="E37" s="143">
        <f>IFERROR(SUMPRODUCT(([2]MOUVEMENTS!B:B=A37)*([2]MOUVEMENTS!D:D=CHAR(79)&amp;CHAR(85)&amp;CHAR(84))*([2]MOUVEMENTS!A:A&gt;=B26)*([2]MOUVEMENTS!A:A&lt;=D26)*[2]MOUVEMENTS!E:E),0)</f>
        <v>0</v>
      </c>
      <c r="F37" s="144">
        <f t="shared" si="1"/>
        <v>0</v>
      </c>
      <c r="G37" s="143" t="e">
        <f>F37*VLOOKUP(A37,[2]ARTICLES!#REF!,8,0)</f>
        <v>#REF!</v>
      </c>
      <c r="H37" s="140" t="s">
        <v>394</v>
      </c>
    </row>
    <row r="38" spans="1:8" ht="21.75" customHeight="1" thickBot="1">
      <c r="A38" s="145" t="s">
        <v>40</v>
      </c>
      <c r="B38" s="145"/>
      <c r="D38" s="146">
        <f>IFERROR(SUMPRODUCT(([2]MOUVEMENTS!B:B=A38)*([2]MOUVEMENTS!D:D=CHAR(73)&amp;CHAR(78))*([2]MOUVEMENTS!A:A&gt;=B26)*([2]MOUVEMENTS!A:A&lt;=D26)*[2]MOUVEMENTS!E:E),0)</f>
        <v>0</v>
      </c>
      <c r="E38" s="146">
        <f>IFERROR(SUMPRODUCT(([2]MOUVEMENTS!B:B=A38)*([2]MOUVEMENTS!D:D=CHAR(79)&amp;CHAR(85)&amp;CHAR(84))*([2]MOUVEMENTS!A:A&gt;=B26)*([2]MOUVEMENTS!A:A&lt;=D26)*[2]MOUVEMENTS!E:E),0)</f>
        <v>0</v>
      </c>
      <c r="F38" s="146">
        <f t="shared" si="1"/>
        <v>0</v>
      </c>
      <c r="G38" s="146" t="e">
        <f>F38*VLOOKUP(A38,[2]ARTICLES!#REF!,8,0)</f>
        <v>#REF!</v>
      </c>
      <c r="H38" s="147" t="s">
        <v>394</v>
      </c>
    </row>
    <row r="39" spans="1:8" ht="25.5" customHeight="1" thickBot="1">
      <c r="A39" s="148" t="s">
        <v>43</v>
      </c>
      <c r="D39" s="65">
        <f>IFERROR(SUMPRODUCT(([2]MOUVEMENTS!B:B=A39)*([2]MOUVEMENTS!D:D=CHAR(73)&amp;CHAR(78))*([2]MOUVEMENTS!A:A&gt;=B26)*([2]MOUVEMENTS!A:A&lt;=D26)*[2]MOUVEMENTS!E:E),0)</f>
        <v>0</v>
      </c>
      <c r="E39" s="65">
        <f>IFERROR(SUMPRODUCT(([2]MOUVEMENTS!B:B=A39)*([2]MOUVEMENTS!D:D=CHAR(79)&amp;CHAR(85)&amp;CHAR(84))*([2]MOUVEMENTS!A:A&gt;=B26)*([2]MOUVEMENTS!A:A&lt;=D26)*[2]MOUVEMENTS!E:E),0)</f>
        <v>0</v>
      </c>
      <c r="F39" s="65">
        <f t="shared" si="1"/>
        <v>0</v>
      </c>
      <c r="G39" s="65" t="e">
        <f>F39*VLOOKUP(A39,[2]ARTICLES!#REF!,8,0)</f>
        <v>#REF!</v>
      </c>
      <c r="H39" s="65" t="s">
        <v>394</v>
      </c>
    </row>
    <row r="40" spans="1:8">
      <c r="A40" s="65" t="s">
        <v>46</v>
      </c>
      <c r="D40" s="65">
        <f>IFERROR(SUMPRODUCT(([2]MOUVEMENTS!B:B=A40)*([2]MOUVEMENTS!D:D=CHAR(73)&amp;CHAR(78))*([2]MOUVEMENTS!A:A&gt;=B26)*([2]MOUVEMENTS!A:A&lt;=D26)*[2]MOUVEMENTS!E:E),0)</f>
        <v>0</v>
      </c>
      <c r="E40" s="65">
        <f>IFERROR(SUMPRODUCT(([2]MOUVEMENTS!B:B=A40)*([2]MOUVEMENTS!D:D=CHAR(79)&amp;CHAR(85)&amp;CHAR(84))*([2]MOUVEMENTS!A:A&gt;=B26)*([2]MOUVEMENTS!A:A&lt;=D26)*[2]MOUVEMENTS!E:E),0)</f>
        <v>0</v>
      </c>
      <c r="F40" s="65">
        <f t="shared" si="1"/>
        <v>0</v>
      </c>
      <c r="G40" s="65" t="e">
        <f>F40*VLOOKUP(A40,[2]ARTICLES!#REF!,8,0)</f>
        <v>#REF!</v>
      </c>
      <c r="H40" s="65" t="s">
        <v>394</v>
      </c>
    </row>
    <row r="41" spans="1:8" ht="15.75" thickBot="1">
      <c r="A41" s="65" t="s">
        <v>49</v>
      </c>
      <c r="D41" s="65">
        <f>IFERROR(SUMPRODUCT(([2]MOUVEMENTS!B:B=A41)*([2]MOUVEMENTS!D:D=CHAR(73)&amp;CHAR(78))*([2]MOUVEMENTS!A:A&gt;=B26)*([2]MOUVEMENTS!A:A&lt;=D26)*[2]MOUVEMENTS!E:E),0)</f>
        <v>0</v>
      </c>
      <c r="E41" s="65">
        <f>IFERROR(SUMPRODUCT(([2]MOUVEMENTS!B:B=A41)*([2]MOUVEMENTS!D:D=CHAR(79)&amp;CHAR(85)&amp;CHAR(84))*([2]MOUVEMENTS!A:A&gt;=B26)*([2]MOUVEMENTS!A:A&lt;=D26)*[2]MOUVEMENTS!E:E),0)</f>
        <v>0</v>
      </c>
      <c r="F41" s="65">
        <f t="shared" si="1"/>
        <v>0</v>
      </c>
      <c r="G41" s="65" t="e">
        <f>F41*VLOOKUP(A41,[2]ARTICLES!#REF!,8,0)</f>
        <v>#REF!</v>
      </c>
      <c r="H41" s="65" t="s">
        <v>394</v>
      </c>
    </row>
    <row r="42" spans="1:8" ht="24" customHeight="1" thickBot="1">
      <c r="A42" s="129" t="s">
        <v>52</v>
      </c>
      <c r="D42" s="65">
        <f>IFERROR(SUMPRODUCT(([2]MOUVEMENTS!B:B=A42)*([2]MOUVEMENTS!D:D=CHAR(73)&amp;CHAR(78))*([2]MOUVEMENTS!A:A&gt;=B26)*([2]MOUVEMENTS!A:A&lt;=D26)*[2]MOUVEMENTS!E:E),0)</f>
        <v>0</v>
      </c>
      <c r="E42" s="65">
        <f>IFERROR(SUMPRODUCT(([2]MOUVEMENTS!B:B=A42)*([2]MOUVEMENTS!D:D=CHAR(79)&amp;CHAR(85)&amp;CHAR(84))*([2]MOUVEMENTS!A:A&gt;=B26)*([2]MOUVEMENTS!A:A&lt;=D26)*[2]MOUVEMENTS!E:E),0)</f>
        <v>0</v>
      </c>
      <c r="F42" s="65">
        <f t="shared" si="1"/>
        <v>0</v>
      </c>
      <c r="G42" s="65" t="e">
        <f>F42*VLOOKUP(A42,[2]ARTICLES!#REF!,8,0)</f>
        <v>#REF!</v>
      </c>
      <c r="H42" s="65" t="s">
        <v>394</v>
      </c>
    </row>
    <row r="43" spans="1:8" ht="21.75" customHeight="1" thickTop="1" thickBot="1">
      <c r="A43" s="130" t="s">
        <v>356</v>
      </c>
      <c r="B43" s="150" t="s">
        <v>395</v>
      </c>
      <c r="C43" s="132"/>
      <c r="D43" s="150">
        <f>SUM(D28:D42)</f>
        <v>0</v>
      </c>
      <c r="E43" s="133">
        <f>SUM(E28:E42)</f>
        <v>0</v>
      </c>
      <c r="F43" s="65">
        <f>SUM(F28:F42)</f>
        <v>0</v>
      </c>
      <c r="G43" s="65" t="e">
        <f>SUM(G28:G42)</f>
        <v>#REF!</v>
      </c>
    </row>
    <row r="44" spans="1:8" ht="31.5" customHeight="1" thickTop="1" thickBot="1">
      <c r="A44" s="134" t="s">
        <v>399</v>
      </c>
      <c r="B44" s="134"/>
      <c r="C44" s="134"/>
      <c r="D44" s="134"/>
      <c r="E44" s="134"/>
      <c r="F44" s="134"/>
      <c r="G44" s="134"/>
      <c r="H44" s="134"/>
    </row>
    <row r="45" spans="1:8" ht="18" customHeight="1">
      <c r="A45" s="135"/>
      <c r="B45" s="136"/>
      <c r="C45" s="137"/>
      <c r="D45" s="138"/>
      <c r="E45" s="138"/>
      <c r="F45" s="139"/>
      <c r="G45" s="138"/>
      <c r="H45" s="135"/>
    </row>
    <row r="46" spans="1:8" ht="18" customHeight="1">
      <c r="A46" s="140" t="s">
        <v>400</v>
      </c>
      <c r="B46" s="141"/>
      <c r="C46" s="142"/>
      <c r="D46" s="143"/>
      <c r="E46" s="143"/>
      <c r="F46" s="144"/>
      <c r="G46" s="143"/>
      <c r="H46" s="140"/>
    </row>
    <row r="47" spans="1:8" ht="18" customHeight="1">
      <c r="A47" s="135" t="s">
        <v>381</v>
      </c>
      <c r="B47" s="136"/>
      <c r="C47" s="137" t="s">
        <v>383</v>
      </c>
      <c r="D47" s="138"/>
      <c r="E47" s="138" t="s">
        <v>385</v>
      </c>
      <c r="F47" s="139"/>
      <c r="G47" s="138"/>
      <c r="H47" s="135"/>
    </row>
    <row r="48" spans="1:8" ht="18" customHeight="1">
      <c r="A48" s="140" t="s">
        <v>386</v>
      </c>
      <c r="B48" s="141" t="s">
        <v>387</v>
      </c>
      <c r="C48" s="142" t="s">
        <v>388</v>
      </c>
      <c r="D48" s="143" t="s">
        <v>389</v>
      </c>
      <c r="E48" s="143" t="s">
        <v>390</v>
      </c>
      <c r="F48" s="144" t="s">
        <v>391</v>
      </c>
      <c r="G48" s="143" t="s">
        <v>392</v>
      </c>
      <c r="H48" s="140" t="s">
        <v>393</v>
      </c>
    </row>
    <row r="49" spans="1:8" ht="18" customHeight="1">
      <c r="A49" s="135" t="s">
        <v>1</v>
      </c>
      <c r="B49" s="136"/>
      <c r="C49" s="137"/>
      <c r="D49" s="138">
        <f>IFERROR(SUMPRODUCT(([2]MOUVEMENTS!B:B=A49)*([2]MOUVEMENTS!D:D=CHAR(73)&amp;CHAR(78))*([2]MOUVEMENTS!A:A&gt;=B47)*([2]MOUVEMENTS!A:A&lt;=D47)*[2]MOUVEMENTS!E:E),0)</f>
        <v>0</v>
      </c>
      <c r="E49" s="138">
        <f>IFERROR(SUMPRODUCT(([2]MOUVEMENTS!B:B=A49)*([2]MOUVEMENTS!D:D=CHAR(79)&amp;CHAR(85)&amp;CHAR(84))*([2]MOUVEMENTS!A:A&gt;=B47)*([2]MOUVEMENTS!A:A&lt;=D47)*[2]MOUVEMENTS!E:E),0)</f>
        <v>0</v>
      </c>
      <c r="F49" s="139">
        <f t="shared" ref="F49:F63" si="2">D49-E49</f>
        <v>0</v>
      </c>
      <c r="G49" s="138" t="e">
        <f>F49*VLOOKUP(A49,[2]ARTICLES!#REF!,8,0)</f>
        <v>#REF!</v>
      </c>
      <c r="H49" s="135" t="s">
        <v>394</v>
      </c>
    </row>
    <row r="50" spans="1:8" ht="18" customHeight="1">
      <c r="A50" s="140" t="s">
        <v>7</v>
      </c>
      <c r="B50" s="141"/>
      <c r="C50" s="142"/>
      <c r="D50" s="143">
        <f>IFERROR(SUMPRODUCT(([2]MOUVEMENTS!B:B=A50)*([2]MOUVEMENTS!D:D=CHAR(73)&amp;CHAR(78))*([2]MOUVEMENTS!A:A&gt;=B47)*([2]MOUVEMENTS!A:A&lt;=D47)*[2]MOUVEMENTS!E:E),0)</f>
        <v>0</v>
      </c>
      <c r="E50" s="143">
        <f>IFERROR(SUMPRODUCT(([2]MOUVEMENTS!B:B=A50)*([2]MOUVEMENTS!D:D=CHAR(79)&amp;CHAR(85)&amp;CHAR(84))*([2]MOUVEMENTS!A:A&gt;=B47)*([2]MOUVEMENTS!A:A&lt;=D47)*[2]MOUVEMENTS!E:E),0)</f>
        <v>0</v>
      </c>
      <c r="F50" s="144">
        <f t="shared" si="2"/>
        <v>0</v>
      </c>
      <c r="G50" s="143" t="e">
        <f>F50*VLOOKUP(A50,[2]ARTICLES!#REF!,8,0)</f>
        <v>#REF!</v>
      </c>
      <c r="H50" s="140" t="s">
        <v>394</v>
      </c>
    </row>
    <row r="51" spans="1:8" ht="18" customHeight="1">
      <c r="A51" s="135" t="s">
        <v>12</v>
      </c>
      <c r="B51" s="136"/>
      <c r="C51" s="137"/>
      <c r="D51" s="138">
        <f>IFERROR(SUMPRODUCT(([2]MOUVEMENTS!B:B=A51)*([2]MOUVEMENTS!D:D=CHAR(73)&amp;CHAR(78))*([2]MOUVEMENTS!A:A&gt;=B47)*([2]MOUVEMENTS!A:A&lt;=D47)*[2]MOUVEMENTS!E:E),0)</f>
        <v>0</v>
      </c>
      <c r="E51" s="138">
        <f>IFERROR(SUMPRODUCT(([2]MOUVEMENTS!B:B=A51)*([2]MOUVEMENTS!D:D=CHAR(79)&amp;CHAR(85)&amp;CHAR(84))*([2]MOUVEMENTS!A:A&gt;=B47)*([2]MOUVEMENTS!A:A&lt;=D47)*[2]MOUVEMENTS!E:E),0)</f>
        <v>0</v>
      </c>
      <c r="F51" s="139">
        <f t="shared" si="2"/>
        <v>0</v>
      </c>
      <c r="G51" s="138" t="e">
        <f>F51*VLOOKUP(A51,[2]ARTICLES!#REF!,8,0)</f>
        <v>#REF!</v>
      </c>
      <c r="H51" s="135" t="s">
        <v>394</v>
      </c>
    </row>
    <row r="52" spans="1:8" ht="18" customHeight="1">
      <c r="A52" s="140" t="s">
        <v>16</v>
      </c>
      <c r="B52" s="141"/>
      <c r="C52" s="142"/>
      <c r="D52" s="143">
        <f>IFERROR(SUMPRODUCT(([2]MOUVEMENTS!B:B=A52)*([2]MOUVEMENTS!D:D=CHAR(73)&amp;CHAR(78))*([2]MOUVEMENTS!A:A&gt;=B47)*([2]MOUVEMENTS!A:A&lt;=D47)*[2]MOUVEMENTS!E:E),0)</f>
        <v>0</v>
      </c>
      <c r="E52" s="143">
        <f>IFERROR(SUMPRODUCT(([2]MOUVEMENTS!B:B=A52)*([2]MOUVEMENTS!D:D=CHAR(79)&amp;CHAR(85)&amp;CHAR(84))*([2]MOUVEMENTS!A:A&gt;=B47)*([2]MOUVEMENTS!A:A&lt;=D47)*[2]MOUVEMENTS!E:E),0)</f>
        <v>0</v>
      </c>
      <c r="F52" s="144">
        <f t="shared" si="2"/>
        <v>0</v>
      </c>
      <c r="G52" s="143" t="e">
        <f>F52*VLOOKUP(A52,[2]ARTICLES!#REF!,8,0)</f>
        <v>#REF!</v>
      </c>
      <c r="H52" s="140" t="s">
        <v>394</v>
      </c>
    </row>
    <row r="53" spans="1:8" ht="18" customHeight="1">
      <c r="A53" s="135" t="s">
        <v>21</v>
      </c>
      <c r="B53" s="136"/>
      <c r="C53" s="137"/>
      <c r="D53" s="138">
        <f>IFERROR(SUMPRODUCT(([2]MOUVEMENTS!B:B=A53)*([2]MOUVEMENTS!D:D=CHAR(73)&amp;CHAR(78))*([2]MOUVEMENTS!A:A&gt;=B47)*([2]MOUVEMENTS!A:A&lt;=D47)*[2]MOUVEMENTS!E:E),0)</f>
        <v>0</v>
      </c>
      <c r="E53" s="138">
        <f>IFERROR(SUMPRODUCT(([2]MOUVEMENTS!B:B=A53)*([2]MOUVEMENTS!D:D=CHAR(79)&amp;CHAR(85)&amp;CHAR(84))*([2]MOUVEMENTS!A:A&gt;=B47)*([2]MOUVEMENTS!A:A&lt;=D47)*[2]MOUVEMENTS!E:E),0)</f>
        <v>0</v>
      </c>
      <c r="F53" s="139">
        <f t="shared" si="2"/>
        <v>0</v>
      </c>
      <c r="G53" s="138" t="e">
        <f>F53*VLOOKUP(A53,[2]ARTICLES!#REF!,8,0)</f>
        <v>#REF!</v>
      </c>
      <c r="H53" s="135" t="s">
        <v>394</v>
      </c>
    </row>
    <row r="54" spans="1:8" ht="18" customHeight="1">
      <c r="A54" s="140" t="s">
        <v>25</v>
      </c>
      <c r="B54" s="141"/>
      <c r="C54" s="142"/>
      <c r="D54" s="143">
        <f>IFERROR(SUMPRODUCT(([2]MOUVEMENTS!B:B=A54)*([2]MOUVEMENTS!D:D=CHAR(73)&amp;CHAR(78))*([2]MOUVEMENTS!A:A&gt;=B47)*([2]MOUVEMENTS!A:A&lt;=D47)*[2]MOUVEMENTS!E:E),0)</f>
        <v>0</v>
      </c>
      <c r="E54" s="143">
        <f>IFERROR(SUMPRODUCT(([2]MOUVEMENTS!B:B=A54)*([2]MOUVEMENTS!D:D=CHAR(79)&amp;CHAR(85)&amp;CHAR(84))*([2]MOUVEMENTS!A:A&gt;=B47)*([2]MOUVEMENTS!A:A&lt;=D47)*[2]MOUVEMENTS!E:E),0)</f>
        <v>0</v>
      </c>
      <c r="F54" s="144">
        <f t="shared" si="2"/>
        <v>0</v>
      </c>
      <c r="G54" s="143" t="e">
        <f>F54*VLOOKUP(A54,[2]ARTICLES!#REF!,8,0)</f>
        <v>#REF!</v>
      </c>
      <c r="H54" s="140" t="s">
        <v>394</v>
      </c>
    </row>
    <row r="55" spans="1:8" ht="18" customHeight="1">
      <c r="A55" s="135" t="s">
        <v>28</v>
      </c>
      <c r="B55" s="136"/>
      <c r="C55" s="137"/>
      <c r="D55" s="138">
        <f>IFERROR(SUMPRODUCT(([2]MOUVEMENTS!B:B=A55)*([2]MOUVEMENTS!D:D=CHAR(73)&amp;CHAR(78))*([2]MOUVEMENTS!A:A&gt;=B47)*([2]MOUVEMENTS!A:A&lt;=D47)*[2]MOUVEMENTS!E:E),0)</f>
        <v>0</v>
      </c>
      <c r="E55" s="138">
        <f>IFERROR(SUMPRODUCT(([2]MOUVEMENTS!B:B=A55)*([2]MOUVEMENTS!D:D=CHAR(79)&amp;CHAR(85)&amp;CHAR(84))*([2]MOUVEMENTS!A:A&gt;=B47)*([2]MOUVEMENTS!A:A&lt;=D47)*[2]MOUVEMENTS!E:E),0)</f>
        <v>0</v>
      </c>
      <c r="F55" s="139">
        <f t="shared" si="2"/>
        <v>0</v>
      </c>
      <c r="G55" s="138" t="e">
        <f>F55*VLOOKUP(A55,[2]ARTICLES!#REF!,8,0)</f>
        <v>#REF!</v>
      </c>
      <c r="H55" s="135" t="s">
        <v>394</v>
      </c>
    </row>
    <row r="56" spans="1:8" ht="18" customHeight="1" thickBot="1">
      <c r="A56" s="140" t="s">
        <v>31</v>
      </c>
      <c r="B56" s="141"/>
      <c r="C56" s="142"/>
      <c r="D56" s="143">
        <f>IFERROR(SUMPRODUCT(([2]MOUVEMENTS!B:B=A56)*([2]MOUVEMENTS!D:D=CHAR(73)&amp;CHAR(78))*([2]MOUVEMENTS!A:A&gt;=B47)*([2]MOUVEMENTS!A:A&lt;=D47)*[2]MOUVEMENTS!E:E),0)</f>
        <v>0</v>
      </c>
      <c r="E56" s="143">
        <f>IFERROR(SUMPRODUCT(([2]MOUVEMENTS!B:B=A56)*([2]MOUVEMENTS!D:D=CHAR(79)&amp;CHAR(85)&amp;CHAR(84))*([2]MOUVEMENTS!A:A&gt;=B47)*([2]MOUVEMENTS!A:A&lt;=D47)*[2]MOUVEMENTS!E:E),0)</f>
        <v>0</v>
      </c>
      <c r="F56" s="144">
        <f t="shared" si="2"/>
        <v>0</v>
      </c>
      <c r="G56" s="143" t="e">
        <f>F56*VLOOKUP(A56,[2]ARTICLES!#REF!,8,0)</f>
        <v>#REF!</v>
      </c>
      <c r="H56" s="140" t="s">
        <v>394</v>
      </c>
    </row>
    <row r="57" spans="1:8" ht="21.75" customHeight="1" thickBot="1">
      <c r="A57" s="145" t="s">
        <v>34</v>
      </c>
      <c r="B57" s="145"/>
      <c r="D57" s="146">
        <f>IFERROR(SUMPRODUCT(([2]MOUVEMENTS!B:B=A57)*([2]MOUVEMENTS!D:D=CHAR(73)&amp;CHAR(78))*([2]MOUVEMENTS!A:A&gt;=B47)*([2]MOUVEMENTS!A:A&lt;=D47)*[2]MOUVEMENTS!E:E),0)</f>
        <v>0</v>
      </c>
      <c r="E57" s="146">
        <f>IFERROR(SUMPRODUCT(([2]MOUVEMENTS!B:B=A57)*([2]MOUVEMENTS!D:D=CHAR(79)&amp;CHAR(85)&amp;CHAR(84))*([2]MOUVEMENTS!A:A&gt;=B47)*([2]MOUVEMENTS!A:A&lt;=D47)*[2]MOUVEMENTS!E:E),0)</f>
        <v>0</v>
      </c>
      <c r="F57" s="146">
        <f t="shared" si="2"/>
        <v>0</v>
      </c>
      <c r="G57" s="146" t="e">
        <f>F57*VLOOKUP(A57,[2]ARTICLES!#REF!,8,0)</f>
        <v>#REF!</v>
      </c>
      <c r="H57" s="147" t="s">
        <v>394</v>
      </c>
    </row>
    <row r="58" spans="1:8" ht="25.5" customHeight="1" thickBot="1">
      <c r="A58" s="148" t="s">
        <v>37</v>
      </c>
      <c r="D58" s="65">
        <f>IFERROR(SUMPRODUCT(([2]MOUVEMENTS!B:B=A58)*([2]MOUVEMENTS!D:D=CHAR(73)&amp;CHAR(78))*([2]MOUVEMENTS!A:A&gt;=B47)*([2]MOUVEMENTS!A:A&lt;=D47)*[2]MOUVEMENTS!E:E),0)</f>
        <v>0</v>
      </c>
      <c r="E58" s="65">
        <f>IFERROR(SUMPRODUCT(([2]MOUVEMENTS!B:B=A58)*([2]MOUVEMENTS!D:D=CHAR(79)&amp;CHAR(85)&amp;CHAR(84))*([2]MOUVEMENTS!A:A&gt;=B47)*([2]MOUVEMENTS!A:A&lt;=D47)*[2]MOUVEMENTS!E:E),0)</f>
        <v>0</v>
      </c>
      <c r="F58" s="65">
        <f t="shared" si="2"/>
        <v>0</v>
      </c>
      <c r="G58" s="65" t="e">
        <f>F58*VLOOKUP(A58,[2]ARTICLES!#REF!,8,0)</f>
        <v>#REF!</v>
      </c>
      <c r="H58" s="65" t="s">
        <v>394</v>
      </c>
    </row>
    <row r="59" spans="1:8">
      <c r="A59" s="65" t="s">
        <v>40</v>
      </c>
      <c r="D59" s="65">
        <f>IFERROR(SUMPRODUCT(([2]MOUVEMENTS!B:B=A59)*([2]MOUVEMENTS!D:D=CHAR(73)&amp;CHAR(78))*([2]MOUVEMENTS!A:A&gt;=B47)*([2]MOUVEMENTS!A:A&lt;=D47)*[2]MOUVEMENTS!E:E),0)</f>
        <v>0</v>
      </c>
      <c r="E59" s="65">
        <f>IFERROR(SUMPRODUCT(([2]MOUVEMENTS!B:B=A59)*([2]MOUVEMENTS!D:D=CHAR(79)&amp;CHAR(85)&amp;CHAR(84))*([2]MOUVEMENTS!A:A&gt;=B47)*([2]MOUVEMENTS!A:A&lt;=D47)*[2]MOUVEMENTS!E:E),0)</f>
        <v>0</v>
      </c>
      <c r="F59" s="65">
        <f t="shared" si="2"/>
        <v>0</v>
      </c>
      <c r="G59" s="65" t="e">
        <f>F59*VLOOKUP(A59,[2]ARTICLES!#REF!,8,0)</f>
        <v>#REF!</v>
      </c>
      <c r="H59" s="65" t="s">
        <v>394</v>
      </c>
    </row>
    <row r="60" spans="1:8" ht="15.75" thickBot="1">
      <c r="A60" s="65" t="s">
        <v>43</v>
      </c>
      <c r="D60" s="65">
        <f>IFERROR(SUMPRODUCT(([2]MOUVEMENTS!B:B=A60)*([2]MOUVEMENTS!D:D=CHAR(73)&amp;CHAR(78))*([2]MOUVEMENTS!A:A&gt;=B47)*([2]MOUVEMENTS!A:A&lt;=D47)*[2]MOUVEMENTS!E:E),0)</f>
        <v>0</v>
      </c>
      <c r="E60" s="65">
        <f>IFERROR(SUMPRODUCT(([2]MOUVEMENTS!B:B=A60)*([2]MOUVEMENTS!D:D=CHAR(79)&amp;CHAR(85)&amp;CHAR(84))*([2]MOUVEMENTS!A:A&gt;=B47)*([2]MOUVEMENTS!A:A&lt;=D47)*[2]MOUVEMENTS!E:E),0)</f>
        <v>0</v>
      </c>
      <c r="F60" s="65">
        <f t="shared" si="2"/>
        <v>0</v>
      </c>
      <c r="G60" s="65" t="e">
        <f>F60*VLOOKUP(A60,[2]ARTICLES!#REF!,8,0)</f>
        <v>#REF!</v>
      </c>
      <c r="H60" s="65" t="s">
        <v>394</v>
      </c>
    </row>
    <row r="61" spans="1:8" ht="24" customHeight="1" thickBot="1">
      <c r="A61" s="129" t="s">
        <v>46</v>
      </c>
      <c r="D61" s="65">
        <f>IFERROR(SUMPRODUCT(([2]MOUVEMENTS!B:B=A61)*([2]MOUVEMENTS!D:D=CHAR(73)&amp;CHAR(78))*([2]MOUVEMENTS!A:A&gt;=B47)*([2]MOUVEMENTS!A:A&lt;=D47)*[2]MOUVEMENTS!E:E),0)</f>
        <v>0</v>
      </c>
      <c r="E61" s="65">
        <f>IFERROR(SUMPRODUCT(([2]MOUVEMENTS!B:B=A61)*([2]MOUVEMENTS!D:D=CHAR(79)&amp;CHAR(85)&amp;CHAR(84))*([2]MOUVEMENTS!A:A&gt;=B47)*([2]MOUVEMENTS!A:A&lt;=D47)*[2]MOUVEMENTS!E:E),0)</f>
        <v>0</v>
      </c>
      <c r="F61" s="65">
        <f t="shared" si="2"/>
        <v>0</v>
      </c>
      <c r="G61" s="65" t="e">
        <f>F61*VLOOKUP(A61,[2]ARTICLES!#REF!,8,0)</f>
        <v>#REF!</v>
      </c>
      <c r="H61" s="65" t="s">
        <v>394</v>
      </c>
    </row>
    <row r="62" spans="1:8" ht="21.75" customHeight="1" thickTop="1" thickBot="1">
      <c r="A62" s="130" t="s">
        <v>49</v>
      </c>
      <c r="B62" s="150"/>
      <c r="C62" s="132"/>
      <c r="D62" s="150">
        <f>IFERROR(SUMPRODUCT(([2]MOUVEMENTS!B:B=A62)*([2]MOUVEMENTS!D:D=CHAR(73)&amp;CHAR(78))*([2]MOUVEMENTS!A:A&gt;=B47)*([2]MOUVEMENTS!A:A&lt;=D47)*[2]MOUVEMENTS!E:E),0)</f>
        <v>0</v>
      </c>
      <c r="E62" s="133">
        <f>IFERROR(SUMPRODUCT(([2]MOUVEMENTS!B:B=A62)*([2]MOUVEMENTS!D:D=CHAR(79)&amp;CHAR(85)&amp;CHAR(84))*([2]MOUVEMENTS!A:A&gt;=B47)*([2]MOUVEMENTS!A:A&lt;=D47)*[2]MOUVEMENTS!E:E),0)</f>
        <v>0</v>
      </c>
      <c r="F62" s="65">
        <f t="shared" si="2"/>
        <v>0</v>
      </c>
      <c r="G62" s="65" t="e">
        <f>F62*VLOOKUP(A62,[2]ARTICLES!#REF!,8,0)</f>
        <v>#REF!</v>
      </c>
      <c r="H62" s="65" t="s">
        <v>394</v>
      </c>
    </row>
    <row r="63" spans="1:8" ht="31.5" customHeight="1" thickTop="1" thickBot="1">
      <c r="A63" s="134" t="s">
        <v>52</v>
      </c>
      <c r="B63" s="134"/>
      <c r="C63" s="134"/>
      <c r="D63" s="134">
        <f>IFERROR(SUMPRODUCT(([2]MOUVEMENTS!B:B=A63)*([2]MOUVEMENTS!D:D=CHAR(73)&amp;CHAR(78))*([2]MOUVEMENTS!A:A&gt;=B47)*([2]MOUVEMENTS!A:A&lt;=D47)*[2]MOUVEMENTS!E:E),0)</f>
        <v>0</v>
      </c>
      <c r="E63" s="134">
        <f>IFERROR(SUMPRODUCT(([2]MOUVEMENTS!B:B=A63)*([2]MOUVEMENTS!D:D=CHAR(79)&amp;CHAR(85)&amp;CHAR(84))*([2]MOUVEMENTS!A:A&gt;=B47)*([2]MOUVEMENTS!A:A&lt;=D47)*[2]MOUVEMENTS!E:E),0)</f>
        <v>0</v>
      </c>
      <c r="F63" s="134">
        <f t="shared" si="2"/>
        <v>0</v>
      </c>
      <c r="G63" s="134" t="e">
        <f>F63*VLOOKUP(A63,[2]ARTICLES!#REF!,8,0)</f>
        <v>#REF!</v>
      </c>
      <c r="H63" s="134" t="s">
        <v>394</v>
      </c>
    </row>
    <row r="64" spans="1:8" ht="18" customHeight="1">
      <c r="A64" s="135" t="s">
        <v>356</v>
      </c>
      <c r="B64" s="136" t="s">
        <v>395</v>
      </c>
      <c r="C64" s="137"/>
      <c r="D64" s="138">
        <f>SUM(D49:D63)</f>
        <v>0</v>
      </c>
      <c r="E64" s="138">
        <f>SUM(E49:E63)</f>
        <v>0</v>
      </c>
      <c r="F64" s="139">
        <f>SUM(F49:F63)</f>
        <v>0</v>
      </c>
      <c r="G64" s="138" t="e">
        <f>SUM(G49:G63)</f>
        <v>#REF!</v>
      </c>
      <c r="H64" s="135"/>
    </row>
    <row r="65" spans="1:8" ht="18" customHeight="1">
      <c r="A65" s="140" t="s">
        <v>401</v>
      </c>
      <c r="B65" s="141"/>
      <c r="C65" s="142"/>
      <c r="D65" s="143"/>
      <c r="E65" s="143"/>
      <c r="F65" s="144"/>
      <c r="G65" s="143"/>
      <c r="H65" s="140"/>
    </row>
    <row r="66" spans="1:8" ht="18" customHeight="1">
      <c r="A66" s="135"/>
      <c r="B66" s="136"/>
      <c r="C66" s="137"/>
      <c r="D66" s="138"/>
      <c r="E66" s="138"/>
      <c r="F66" s="139"/>
      <c r="G66" s="138"/>
      <c r="H66" s="135"/>
    </row>
    <row r="67" spans="1:8" ht="18" customHeight="1">
      <c r="A67" s="140" t="s">
        <v>402</v>
      </c>
      <c r="B67" s="141"/>
      <c r="C67" s="142"/>
      <c r="D67" s="143"/>
      <c r="E67" s="143"/>
      <c r="F67" s="144"/>
      <c r="G67" s="143"/>
      <c r="H67" s="140"/>
    </row>
    <row r="68" spans="1:8" ht="18" customHeight="1">
      <c r="A68" s="135" t="s">
        <v>381</v>
      </c>
      <c r="B68" s="136"/>
      <c r="C68" s="137" t="s">
        <v>383</v>
      </c>
      <c r="D68" s="138"/>
      <c r="E68" s="138" t="s">
        <v>385</v>
      </c>
      <c r="F68" s="139"/>
      <c r="G68" s="138"/>
      <c r="H68" s="135"/>
    </row>
    <row r="69" spans="1:8" ht="18" customHeight="1">
      <c r="A69" s="140" t="s">
        <v>386</v>
      </c>
      <c r="B69" s="141" t="s">
        <v>387</v>
      </c>
      <c r="C69" s="142" t="s">
        <v>388</v>
      </c>
      <c r="D69" s="143" t="s">
        <v>389</v>
      </c>
      <c r="E69" s="143" t="s">
        <v>390</v>
      </c>
      <c r="F69" s="144" t="s">
        <v>391</v>
      </c>
      <c r="G69" s="143" t="s">
        <v>392</v>
      </c>
      <c r="H69" s="140" t="s">
        <v>393</v>
      </c>
    </row>
    <row r="70" spans="1:8" ht="18" customHeight="1">
      <c r="A70" s="135" t="s">
        <v>1</v>
      </c>
      <c r="B70" s="136"/>
      <c r="C70" s="137"/>
      <c r="D70" s="138">
        <f>IFERROR(SUMPRODUCT(([2]MOUVEMENTS!B:B=A70)*([2]MOUVEMENTS!D:D=CHAR(73)&amp;CHAR(78))*([2]MOUVEMENTS!A:A&gt;=B68)*([2]MOUVEMENTS!A:A&lt;=D68)*[2]MOUVEMENTS!E:E),0)</f>
        <v>0</v>
      </c>
      <c r="E70" s="138">
        <f>IFERROR(SUMPRODUCT(([2]MOUVEMENTS!B:B=A70)*([2]MOUVEMENTS!D:D=CHAR(79)&amp;CHAR(85)&amp;CHAR(84))*([2]MOUVEMENTS!A:A&gt;=B68)*([2]MOUVEMENTS!A:A&lt;=D68)*[2]MOUVEMENTS!E:E),0)</f>
        <v>0</v>
      </c>
      <c r="F70" s="139">
        <f t="shared" ref="F70:F84" si="3">D70-E70</f>
        <v>0</v>
      </c>
      <c r="G70" s="138" t="e">
        <f>F70*VLOOKUP(A70,[2]ARTICLES!#REF!,8,0)</f>
        <v>#REF!</v>
      </c>
      <c r="H70" s="135" t="s">
        <v>394</v>
      </c>
    </row>
    <row r="71" spans="1:8" ht="18" customHeight="1">
      <c r="A71" s="140" t="s">
        <v>7</v>
      </c>
      <c r="B71" s="141"/>
      <c r="C71" s="142"/>
      <c r="D71" s="143">
        <f>IFERROR(SUMPRODUCT(([2]MOUVEMENTS!B:B=A71)*([2]MOUVEMENTS!D:D=CHAR(73)&amp;CHAR(78))*([2]MOUVEMENTS!A:A&gt;=B68)*([2]MOUVEMENTS!A:A&lt;=D68)*[2]MOUVEMENTS!E:E),0)</f>
        <v>0</v>
      </c>
      <c r="E71" s="143">
        <f>IFERROR(SUMPRODUCT(([2]MOUVEMENTS!B:B=A71)*([2]MOUVEMENTS!D:D=CHAR(79)&amp;CHAR(85)&amp;CHAR(84))*([2]MOUVEMENTS!A:A&gt;=B68)*([2]MOUVEMENTS!A:A&lt;=D68)*[2]MOUVEMENTS!E:E),0)</f>
        <v>0</v>
      </c>
      <c r="F71" s="144">
        <f t="shared" si="3"/>
        <v>0</v>
      </c>
      <c r="G71" s="143" t="e">
        <f>F71*VLOOKUP(A71,[2]ARTICLES!#REF!,8,0)</f>
        <v>#REF!</v>
      </c>
      <c r="H71" s="140" t="s">
        <v>394</v>
      </c>
    </row>
    <row r="72" spans="1:8" ht="18" customHeight="1">
      <c r="A72" s="135" t="s">
        <v>12</v>
      </c>
      <c r="B72" s="136"/>
      <c r="C72" s="137"/>
      <c r="D72" s="138">
        <f>IFERROR(SUMPRODUCT(([2]MOUVEMENTS!B:B=A72)*([2]MOUVEMENTS!D:D=CHAR(73)&amp;CHAR(78))*([2]MOUVEMENTS!A:A&gt;=B68)*([2]MOUVEMENTS!A:A&lt;=D68)*[2]MOUVEMENTS!E:E),0)</f>
        <v>0</v>
      </c>
      <c r="E72" s="138">
        <f>IFERROR(SUMPRODUCT(([2]MOUVEMENTS!B:B=A72)*([2]MOUVEMENTS!D:D=CHAR(79)&amp;CHAR(85)&amp;CHAR(84))*([2]MOUVEMENTS!A:A&gt;=B68)*([2]MOUVEMENTS!A:A&lt;=D68)*[2]MOUVEMENTS!E:E),0)</f>
        <v>0</v>
      </c>
      <c r="F72" s="139">
        <f t="shared" si="3"/>
        <v>0</v>
      </c>
      <c r="G72" s="138" t="e">
        <f>F72*VLOOKUP(A72,[2]ARTICLES!#REF!,8,0)</f>
        <v>#REF!</v>
      </c>
      <c r="H72" s="135" t="s">
        <v>394</v>
      </c>
    </row>
    <row r="73" spans="1:8" ht="18" customHeight="1">
      <c r="A73" s="140" t="s">
        <v>16</v>
      </c>
      <c r="B73" s="141"/>
      <c r="C73" s="142"/>
      <c r="D73" s="143">
        <f>IFERROR(SUMPRODUCT(([2]MOUVEMENTS!B:B=A73)*([2]MOUVEMENTS!D:D=CHAR(73)&amp;CHAR(78))*([2]MOUVEMENTS!A:A&gt;=B68)*([2]MOUVEMENTS!A:A&lt;=D68)*[2]MOUVEMENTS!E:E),0)</f>
        <v>0</v>
      </c>
      <c r="E73" s="143">
        <f>IFERROR(SUMPRODUCT(([2]MOUVEMENTS!B:B=A73)*([2]MOUVEMENTS!D:D=CHAR(79)&amp;CHAR(85)&amp;CHAR(84))*([2]MOUVEMENTS!A:A&gt;=B68)*([2]MOUVEMENTS!A:A&lt;=D68)*[2]MOUVEMENTS!E:E),0)</f>
        <v>0</v>
      </c>
      <c r="F73" s="144">
        <f t="shared" si="3"/>
        <v>0</v>
      </c>
      <c r="G73" s="143" t="e">
        <f>F73*VLOOKUP(A73,[2]ARTICLES!#REF!,8,0)</f>
        <v>#REF!</v>
      </c>
      <c r="H73" s="140" t="s">
        <v>394</v>
      </c>
    </row>
    <row r="74" spans="1:8" ht="18" customHeight="1">
      <c r="A74" s="135" t="s">
        <v>21</v>
      </c>
      <c r="B74" s="136"/>
      <c r="C74" s="137"/>
      <c r="D74" s="138">
        <f>IFERROR(SUMPRODUCT(([2]MOUVEMENTS!B:B=A74)*([2]MOUVEMENTS!D:D=CHAR(73)&amp;CHAR(78))*([2]MOUVEMENTS!A:A&gt;=B68)*([2]MOUVEMENTS!A:A&lt;=D68)*[2]MOUVEMENTS!E:E),0)</f>
        <v>0</v>
      </c>
      <c r="E74" s="138">
        <f>IFERROR(SUMPRODUCT(([2]MOUVEMENTS!B:B=A74)*([2]MOUVEMENTS!D:D=CHAR(79)&amp;CHAR(85)&amp;CHAR(84))*([2]MOUVEMENTS!A:A&gt;=B68)*([2]MOUVEMENTS!A:A&lt;=D68)*[2]MOUVEMENTS!E:E),0)</f>
        <v>0</v>
      </c>
      <c r="F74" s="139">
        <f t="shared" si="3"/>
        <v>0</v>
      </c>
      <c r="G74" s="138" t="e">
        <f>F74*VLOOKUP(A74,[2]ARTICLES!#REF!,8,0)</f>
        <v>#REF!</v>
      </c>
      <c r="H74" s="135" t="s">
        <v>394</v>
      </c>
    </row>
    <row r="75" spans="1:8" ht="18" customHeight="1" thickBot="1">
      <c r="A75" s="140" t="s">
        <v>25</v>
      </c>
      <c r="B75" s="141"/>
      <c r="C75" s="142"/>
      <c r="D75" s="143">
        <f>IFERROR(SUMPRODUCT(([2]MOUVEMENTS!B:B=A75)*([2]MOUVEMENTS!D:D=CHAR(73)&amp;CHAR(78))*([2]MOUVEMENTS!A:A&gt;=B68)*([2]MOUVEMENTS!A:A&lt;=D68)*[2]MOUVEMENTS!E:E),0)</f>
        <v>0</v>
      </c>
      <c r="E75" s="143">
        <f>IFERROR(SUMPRODUCT(([2]MOUVEMENTS!B:B=A75)*([2]MOUVEMENTS!D:D=CHAR(79)&amp;CHAR(85)&amp;CHAR(84))*([2]MOUVEMENTS!A:A&gt;=B68)*([2]MOUVEMENTS!A:A&lt;=D68)*[2]MOUVEMENTS!E:E),0)</f>
        <v>0</v>
      </c>
      <c r="F75" s="144">
        <f t="shared" si="3"/>
        <v>0</v>
      </c>
      <c r="G75" s="143" t="e">
        <f>F75*VLOOKUP(A75,[2]ARTICLES!#REF!,8,0)</f>
        <v>#REF!</v>
      </c>
      <c r="H75" s="140" t="s">
        <v>394</v>
      </c>
    </row>
    <row r="76" spans="1:8" ht="21.75" customHeight="1" thickBot="1">
      <c r="A76" s="145" t="s">
        <v>28</v>
      </c>
      <c r="B76" s="145"/>
      <c r="D76" s="146">
        <f>IFERROR(SUMPRODUCT(([2]MOUVEMENTS!B:B=A76)*([2]MOUVEMENTS!D:D=CHAR(73)&amp;CHAR(78))*([2]MOUVEMENTS!A:A&gt;=B68)*([2]MOUVEMENTS!A:A&lt;=D68)*[2]MOUVEMENTS!E:E),0)</f>
        <v>0</v>
      </c>
      <c r="E76" s="146">
        <f>IFERROR(SUMPRODUCT(([2]MOUVEMENTS!B:B=A76)*([2]MOUVEMENTS!D:D=CHAR(79)&amp;CHAR(85)&amp;CHAR(84))*([2]MOUVEMENTS!A:A&gt;=B68)*([2]MOUVEMENTS!A:A&lt;=D68)*[2]MOUVEMENTS!E:E),0)</f>
        <v>0</v>
      </c>
      <c r="F76" s="146">
        <f t="shared" si="3"/>
        <v>0</v>
      </c>
      <c r="G76" s="146" t="e">
        <f>F76*VLOOKUP(A76,[2]ARTICLES!#REF!,8,0)</f>
        <v>#REF!</v>
      </c>
      <c r="H76" s="147" t="s">
        <v>394</v>
      </c>
    </row>
    <row r="77" spans="1:8" ht="25.5" customHeight="1" thickBot="1">
      <c r="A77" s="148" t="s">
        <v>31</v>
      </c>
      <c r="D77" s="65">
        <f>IFERROR(SUMPRODUCT(([2]MOUVEMENTS!B:B=A77)*([2]MOUVEMENTS!D:D=CHAR(73)&amp;CHAR(78))*([2]MOUVEMENTS!A:A&gt;=B68)*([2]MOUVEMENTS!A:A&lt;=D68)*[2]MOUVEMENTS!E:E),0)</f>
        <v>0</v>
      </c>
      <c r="E77" s="65">
        <f>IFERROR(SUMPRODUCT(([2]MOUVEMENTS!B:B=A77)*([2]MOUVEMENTS!D:D=CHAR(79)&amp;CHAR(85)&amp;CHAR(84))*([2]MOUVEMENTS!A:A&gt;=B68)*([2]MOUVEMENTS!A:A&lt;=D68)*[2]MOUVEMENTS!E:E),0)</f>
        <v>0</v>
      </c>
      <c r="F77" s="65">
        <f t="shared" si="3"/>
        <v>0</v>
      </c>
      <c r="G77" s="65" t="e">
        <f>F77*VLOOKUP(A77,[2]ARTICLES!#REF!,8,0)</f>
        <v>#REF!</v>
      </c>
      <c r="H77" s="65" t="s">
        <v>394</v>
      </c>
    </row>
    <row r="78" spans="1:8">
      <c r="A78" s="65" t="s">
        <v>34</v>
      </c>
      <c r="D78" s="65">
        <f>IFERROR(SUMPRODUCT(([2]MOUVEMENTS!B:B=A78)*([2]MOUVEMENTS!D:D=CHAR(73)&amp;CHAR(78))*([2]MOUVEMENTS!A:A&gt;=B68)*([2]MOUVEMENTS!A:A&lt;=D68)*[2]MOUVEMENTS!E:E),0)</f>
        <v>0</v>
      </c>
      <c r="E78" s="65">
        <f>IFERROR(SUMPRODUCT(([2]MOUVEMENTS!B:B=A78)*([2]MOUVEMENTS!D:D=CHAR(79)&amp;CHAR(85)&amp;CHAR(84))*([2]MOUVEMENTS!A:A&gt;=B68)*([2]MOUVEMENTS!A:A&lt;=D68)*[2]MOUVEMENTS!E:E),0)</f>
        <v>0</v>
      </c>
      <c r="F78" s="65">
        <f t="shared" si="3"/>
        <v>0</v>
      </c>
      <c r="G78" s="65" t="e">
        <f>F78*VLOOKUP(A78,[2]ARTICLES!#REF!,8,0)</f>
        <v>#REF!</v>
      </c>
      <c r="H78" s="65" t="s">
        <v>394</v>
      </c>
    </row>
    <row r="79" spans="1:8" ht="13.5" customHeight="1">
      <c r="A79" s="151" t="s">
        <v>37</v>
      </c>
      <c r="D79" s="65">
        <f>IFERROR(SUMPRODUCT(([2]MOUVEMENTS!B:B=A79)*([2]MOUVEMENTS!D:D=CHAR(73)&amp;CHAR(78))*([2]MOUVEMENTS!A:A&gt;=B68)*([2]MOUVEMENTS!A:A&lt;=D68)*[2]MOUVEMENTS!E:E),0)</f>
        <v>0</v>
      </c>
      <c r="E79" s="65">
        <f>IFERROR(SUMPRODUCT(([2]MOUVEMENTS!B:B=A79)*([2]MOUVEMENTS!D:D=CHAR(79)&amp;CHAR(85)&amp;CHAR(84))*([2]MOUVEMENTS!A:A&gt;=B68)*([2]MOUVEMENTS!A:A&lt;=D68)*[2]MOUVEMENTS!E:E),0)</f>
        <v>0</v>
      </c>
      <c r="F79" s="65">
        <f t="shared" si="3"/>
        <v>0</v>
      </c>
      <c r="G79" s="65" t="e">
        <f>F79*VLOOKUP(A79,[2]ARTICLES!#REF!,8,0)</f>
        <v>#REF!</v>
      </c>
      <c r="H79" s="65" t="s">
        <v>394</v>
      </c>
    </row>
    <row r="80" spans="1:8">
      <c r="A80" s="65" t="s">
        <v>40</v>
      </c>
      <c r="D80" s="65">
        <f>IFERROR(SUMPRODUCT(([2]MOUVEMENTS!B:B=A80)*([2]MOUVEMENTS!D:D=CHAR(73)&amp;CHAR(78))*([2]MOUVEMENTS!A:A&gt;=B68)*([2]MOUVEMENTS!A:A&lt;=D68)*[2]MOUVEMENTS!E:E),0)</f>
        <v>0</v>
      </c>
      <c r="E80" s="65">
        <f>IFERROR(SUMPRODUCT(([2]MOUVEMENTS!B:B=A80)*([2]MOUVEMENTS!D:D=CHAR(79)&amp;CHAR(85)&amp;CHAR(84))*([2]MOUVEMENTS!A:A&gt;=B68)*([2]MOUVEMENTS!A:A&lt;=D68)*[2]MOUVEMENTS!E:E),0)</f>
        <v>0</v>
      </c>
      <c r="F80" s="65">
        <f t="shared" si="3"/>
        <v>0</v>
      </c>
      <c r="G80" s="65" t="e">
        <f>F80*VLOOKUP(A80,[2]ARTICLES!#REF!,8,0)</f>
        <v>#REF!</v>
      </c>
      <c r="H80" s="65" t="s">
        <v>394</v>
      </c>
    </row>
    <row r="81" spans="1:8">
      <c r="A81" s="65" t="s">
        <v>43</v>
      </c>
      <c r="D81" s="65">
        <f>IFERROR(SUMPRODUCT(([2]MOUVEMENTS!B:B=A81)*([2]MOUVEMENTS!D:D=CHAR(73)&amp;CHAR(78))*([2]MOUVEMENTS!A:A&gt;=B68)*([2]MOUVEMENTS!A:A&lt;=D68)*[2]MOUVEMENTS!E:E),0)</f>
        <v>0</v>
      </c>
      <c r="E81" s="65">
        <f>IFERROR(SUMPRODUCT(([2]MOUVEMENTS!B:B=A81)*([2]MOUVEMENTS!D:D=CHAR(79)&amp;CHAR(85)&amp;CHAR(84))*([2]MOUVEMENTS!A:A&gt;=B68)*([2]MOUVEMENTS!A:A&lt;=D68)*[2]MOUVEMENTS!E:E),0)</f>
        <v>0</v>
      </c>
      <c r="F81" s="65">
        <f t="shared" si="3"/>
        <v>0</v>
      </c>
      <c r="G81" s="65" t="e">
        <f>F81*VLOOKUP(A81,[2]ARTICLES!#REF!,8,0)</f>
        <v>#REF!</v>
      </c>
      <c r="H81" s="65" t="s">
        <v>394</v>
      </c>
    </row>
    <row r="82" spans="1:8">
      <c r="A82" s="65" t="s">
        <v>46</v>
      </c>
      <c r="D82" s="65">
        <f>IFERROR(SUMPRODUCT(([2]MOUVEMENTS!B:B=A82)*([2]MOUVEMENTS!D:D=CHAR(73)&amp;CHAR(78))*([2]MOUVEMENTS!A:A&gt;=B68)*([2]MOUVEMENTS!A:A&lt;=D68)*[2]MOUVEMENTS!E:E),0)</f>
        <v>0</v>
      </c>
      <c r="E82" s="65">
        <f>IFERROR(SUMPRODUCT(([2]MOUVEMENTS!B:B=A82)*([2]MOUVEMENTS!D:D=CHAR(79)&amp;CHAR(85)&amp;CHAR(84))*([2]MOUVEMENTS!A:A&gt;=B68)*([2]MOUVEMENTS!A:A&lt;=D68)*[2]MOUVEMENTS!E:E),0)</f>
        <v>0</v>
      </c>
      <c r="F82" s="65">
        <f t="shared" si="3"/>
        <v>0</v>
      </c>
      <c r="G82" s="65" t="e">
        <f>F82*VLOOKUP(A82,[2]ARTICLES!#REF!,8,0)</f>
        <v>#REF!</v>
      </c>
      <c r="H82" s="65" t="s">
        <v>394</v>
      </c>
    </row>
    <row r="83" spans="1:8">
      <c r="A83" s="65" t="s">
        <v>49</v>
      </c>
      <c r="D83" s="65">
        <f>IFERROR(SUMPRODUCT(([2]MOUVEMENTS!B:B=A83)*([2]MOUVEMENTS!D:D=CHAR(73)&amp;CHAR(78))*([2]MOUVEMENTS!A:A&gt;=B68)*([2]MOUVEMENTS!A:A&lt;=D68)*[2]MOUVEMENTS!E:E),0)</f>
        <v>0</v>
      </c>
      <c r="E83" s="65">
        <f>IFERROR(SUMPRODUCT(([2]MOUVEMENTS!B:B=A83)*([2]MOUVEMENTS!D:D=CHAR(79)&amp;CHAR(85)&amp;CHAR(84))*([2]MOUVEMENTS!A:A&gt;=B68)*([2]MOUVEMENTS!A:A&lt;=D68)*[2]MOUVEMENTS!E:E),0)</f>
        <v>0</v>
      </c>
      <c r="F83" s="65">
        <f t="shared" si="3"/>
        <v>0</v>
      </c>
      <c r="G83" s="65" t="e">
        <f>F83*VLOOKUP(A83,[2]ARTICLES!#REF!,8,0)</f>
        <v>#REF!</v>
      </c>
      <c r="H83" s="65" t="s">
        <v>394</v>
      </c>
    </row>
    <row r="84" spans="1:8">
      <c r="A84" s="65" t="s">
        <v>52</v>
      </c>
      <c r="D84" s="65">
        <f>IFERROR(SUMPRODUCT(([2]MOUVEMENTS!B:B=A84)*([2]MOUVEMENTS!D:D=CHAR(73)&amp;CHAR(78))*([2]MOUVEMENTS!A:A&gt;=B68)*([2]MOUVEMENTS!A:A&lt;=D68)*[2]MOUVEMENTS!E:E),0)</f>
        <v>0</v>
      </c>
      <c r="E84" s="65">
        <f>IFERROR(SUMPRODUCT(([2]MOUVEMENTS!B:B=A84)*([2]MOUVEMENTS!D:D=CHAR(79)&amp;CHAR(85)&amp;CHAR(84))*([2]MOUVEMENTS!A:A&gt;=B68)*([2]MOUVEMENTS!A:A&lt;=D68)*[2]MOUVEMENTS!E:E),0)</f>
        <v>0</v>
      </c>
      <c r="F84" s="65">
        <f t="shared" si="3"/>
        <v>0</v>
      </c>
      <c r="G84" s="65" t="e">
        <f>F84*VLOOKUP(A84,[2]ARTICLES!#REF!,8,0)</f>
        <v>#REF!</v>
      </c>
      <c r="H84" s="65" t="s">
        <v>394</v>
      </c>
    </row>
    <row r="85" spans="1:8">
      <c r="A85" s="65" t="s">
        <v>356</v>
      </c>
      <c r="B85" s="65" t="s">
        <v>395</v>
      </c>
      <c r="D85" s="65">
        <f>SUM(D70:D84)</f>
        <v>0</v>
      </c>
      <c r="E85" s="65">
        <f>SUM(E70:E84)</f>
        <v>0</v>
      </c>
      <c r="F85" s="65">
        <f>SUM(F70:F84)</f>
        <v>0</v>
      </c>
      <c r="G85" s="65" t="e">
        <f>SUM(G70:G84)</f>
        <v>#REF!</v>
      </c>
    </row>
    <row r="86" spans="1:8">
      <c r="A86" s="65" t="s">
        <v>403</v>
      </c>
    </row>
    <row r="88" spans="1:8">
      <c r="A88" s="65" t="s">
        <v>404</v>
      </c>
    </row>
  </sheetData>
  <sheetProtection algorithmName="SHA-512" hashValue="zq6rRIBrBKgkxqnXBz7uYco8QtNIe0/Dhsqc6z6ME2TUkiw/ZfXNFJZJIeOUykiQR1mnmPaXW+5WU9T2KPBoyg==" saltValue="EV/gduZuKFS6UFNwGJF3eg==" spinCount="100000" sheet="1" objects="1" scenarios="1" autoFilter="0"/>
  <printOptions horizontalCentered="1"/>
  <pageMargins left="0.5" right="0.5" top="0.75" bottom="0.75" header="0.3" footer="0.3"/>
  <pageSetup paperSize="9" fitToHeight="0" orientation="landscape" horizontalDpi="300" verticalDpi="300"/>
  <headerFooter>
    <oddHeader>&amp;LERP Acad�mie  -  Direction de l'Education, El Bayadh&amp;C06-06-2026&amp;R[Logo]</oddHeader>
    <oddFooter>&amp;LERP Academie vv13.4&amp;RPage 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3A16-AFBE-4A71-939A-2035F2DB099A}">
  <sheetPr codeName="Sheet12">
    <tabColor rgb="FF6A1B9A"/>
  </sheetPr>
  <dimension ref="A1:D18"/>
  <sheetViews>
    <sheetView topLeftCell="A12" zoomScaleNormal="100" workbookViewId="0">
      <selection sqref="A1:D20"/>
    </sheetView>
  </sheetViews>
  <sheetFormatPr defaultColWidth="7.625" defaultRowHeight="15"/>
  <cols>
    <col min="1" max="1" width="8.75" style="65" customWidth="1"/>
    <col min="2" max="2" width="40.25" style="65" customWidth="1"/>
    <col min="3" max="3" width="17.5" style="65" customWidth="1"/>
    <col min="4" max="4" width="14" style="65" customWidth="1"/>
    <col min="5" max="16384" width="7.625" style="65"/>
  </cols>
  <sheetData>
    <row r="1" spans="1:4" ht="27.75" customHeight="1">
      <c r="A1" s="247" t="s">
        <v>405</v>
      </c>
      <c r="B1" s="244"/>
      <c r="C1" s="244"/>
      <c r="D1" s="244"/>
    </row>
    <row r="3" spans="1:4" ht="21.75" customHeight="1">
      <c r="A3" s="152" t="s">
        <v>406</v>
      </c>
      <c r="B3" s="153" t="s">
        <v>407</v>
      </c>
      <c r="C3" s="154">
        <v>33</v>
      </c>
      <c r="D3" s="78" t="s">
        <v>408</v>
      </c>
    </row>
    <row r="4" spans="1:4" ht="21.75" customHeight="1">
      <c r="A4" s="152" t="s">
        <v>409</v>
      </c>
      <c r="B4" s="153" t="s">
        <v>410</v>
      </c>
      <c r="C4" s="154">
        <v>801.45</v>
      </c>
      <c r="D4" s="78" t="s">
        <v>411</v>
      </c>
    </row>
    <row r="5" spans="1:4" ht="21.75" customHeight="1">
      <c r="A5" s="152" t="s">
        <v>412</v>
      </c>
      <c r="B5" s="153" t="s">
        <v>413</v>
      </c>
      <c r="C5" s="154">
        <v>1200</v>
      </c>
      <c r="D5" s="78" t="s">
        <v>414</v>
      </c>
    </row>
    <row r="6" spans="1:4" ht="21.75" customHeight="1">
      <c r="A6" s="152" t="s">
        <v>415</v>
      </c>
      <c r="B6" s="153" t="s">
        <v>416</v>
      </c>
      <c r="C6" s="155">
        <v>0.2</v>
      </c>
      <c r="D6" s="78" t="s">
        <v>417</v>
      </c>
    </row>
    <row r="7" spans="1:4" ht="21.75" customHeight="1">
      <c r="A7" s="152" t="s">
        <v>418</v>
      </c>
      <c r="B7" s="153" t="s">
        <v>419</v>
      </c>
      <c r="C7" s="154">
        <v>200</v>
      </c>
      <c r="D7" s="78" t="s">
        <v>420</v>
      </c>
    </row>
    <row r="8" spans="1:4" ht="21.75" customHeight="1">
      <c r="A8" s="152" t="s">
        <v>421</v>
      </c>
      <c r="B8" s="153" t="s">
        <v>422</v>
      </c>
      <c r="C8" s="154">
        <v>2</v>
      </c>
      <c r="D8" s="78" t="s">
        <v>423</v>
      </c>
    </row>
    <row r="9" spans="1:4" ht="9.75" customHeight="1"/>
    <row r="10" spans="1:4" ht="15" customHeight="1">
      <c r="A10" s="248" t="s">
        <v>424</v>
      </c>
      <c r="B10" s="244"/>
      <c r="C10" s="244"/>
      <c r="D10" s="244"/>
    </row>
    <row r="11" spans="1:4" ht="21.75" customHeight="1">
      <c r="A11" s="156" t="s">
        <v>425</v>
      </c>
      <c r="B11" s="153" t="s">
        <v>426</v>
      </c>
      <c r="C11" s="157">
        <v>15</v>
      </c>
      <c r="D11" s="78" t="s">
        <v>420</v>
      </c>
    </row>
    <row r="12" spans="1:4" ht="21.75" customHeight="1">
      <c r="A12" s="156" t="s">
        <v>427</v>
      </c>
      <c r="B12" s="153" t="s">
        <v>428</v>
      </c>
      <c r="C12" s="157">
        <v>2.2000000000000002</v>
      </c>
      <c r="D12" s="78" t="s">
        <v>429</v>
      </c>
    </row>
    <row r="13" spans="1:4" ht="21.75" customHeight="1">
      <c r="A13" s="156" t="s">
        <v>369</v>
      </c>
      <c r="B13" s="153" t="s">
        <v>430</v>
      </c>
      <c r="C13" s="157">
        <v>200</v>
      </c>
      <c r="D13" s="78" t="s">
        <v>420</v>
      </c>
    </row>
    <row r="14" spans="1:4" ht="21.75" customHeight="1">
      <c r="A14" s="156" t="s">
        <v>431</v>
      </c>
      <c r="B14" s="153" t="s">
        <v>432</v>
      </c>
      <c r="C14" s="157">
        <v>1763.19</v>
      </c>
      <c r="D14" s="78" t="s">
        <v>433</v>
      </c>
    </row>
    <row r="15" spans="1:4" ht="21.75" customHeight="1">
      <c r="A15" s="156" t="s">
        <v>434</v>
      </c>
      <c r="B15" s="153" t="s">
        <v>435</v>
      </c>
      <c r="C15" s="157">
        <v>48180</v>
      </c>
      <c r="D15" s="78" t="s">
        <v>433</v>
      </c>
    </row>
    <row r="16" spans="1:4" ht="21.75" customHeight="1">
      <c r="A16" s="156" t="s">
        <v>436</v>
      </c>
      <c r="B16" s="153" t="s">
        <v>437</v>
      </c>
      <c r="C16" s="157">
        <v>49943.19</v>
      </c>
      <c r="D16" s="78" t="s">
        <v>433</v>
      </c>
    </row>
    <row r="18" spans="1:4" ht="36" customHeight="1">
      <c r="A18" s="249" t="s">
        <v>438</v>
      </c>
      <c r="B18" s="244"/>
      <c r="C18" s="244"/>
      <c r="D18" s="244"/>
    </row>
  </sheetData>
  <sheetProtection algorithmName="SHA-512" hashValue="K/6lAjsSTGhlRrUWb3t9SXaJopnY858uy1jNUYlx/8W/PSZ9pNkXt1k+4qfjFqWE3Tr7h7pgRe+h6kHsEEq+pg==" saltValue="/5ukU7IebLLqE9NctrOl3w==" spinCount="100000" sheet="1" objects="1" scenarios="1" autoFilter="0"/>
  <mergeCells count="3">
    <mergeCell ref="A1:D1"/>
    <mergeCell ref="A10:D10"/>
    <mergeCell ref="A18:D18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2EFDE-D48F-43D9-8E85-AAC433D1F239}">
  <sheetPr codeName="Sheet13">
    <tabColor rgb="FF37474F"/>
  </sheetPr>
  <dimension ref="A1:H7"/>
  <sheetViews>
    <sheetView zoomScaleNormal="100" workbookViewId="0">
      <selection sqref="A1:I9"/>
    </sheetView>
  </sheetViews>
  <sheetFormatPr defaultColWidth="7.625" defaultRowHeight="15"/>
  <cols>
    <col min="1" max="1" width="8.75" style="65" customWidth="1"/>
    <col min="2" max="2" width="13.125" style="65" customWidth="1"/>
    <col min="3" max="3" width="10.5" style="65" customWidth="1"/>
    <col min="4" max="4" width="19.25" style="65" customWidth="1"/>
    <col min="5" max="5" width="14" style="65" customWidth="1"/>
    <col min="6" max="6" width="12.25" style="65" customWidth="1"/>
    <col min="7" max="7" width="14" style="65" customWidth="1"/>
    <col min="8" max="16384" width="7.625" style="65"/>
  </cols>
  <sheetData>
    <row r="1" spans="1:8" ht="27.75" customHeight="1" thickBot="1">
      <c r="A1" s="247" t="s">
        <v>439</v>
      </c>
      <c r="B1" s="244"/>
      <c r="C1" s="244"/>
      <c r="D1" s="244"/>
      <c r="E1" s="244"/>
      <c r="F1" s="244"/>
      <c r="G1" s="244"/>
    </row>
    <row r="2" spans="1:8" ht="21.75" customHeight="1" thickBot="1">
      <c r="A2" s="158" t="s">
        <v>440</v>
      </c>
      <c r="B2" s="159" t="s">
        <v>441</v>
      </c>
      <c r="C2" s="158" t="s">
        <v>442</v>
      </c>
      <c r="D2" s="158" t="s">
        <v>156</v>
      </c>
      <c r="E2" s="158" t="s">
        <v>443</v>
      </c>
      <c r="F2" s="158" t="s">
        <v>444</v>
      </c>
      <c r="G2" s="158" t="s">
        <v>445</v>
      </c>
      <c r="H2" s="158" t="s">
        <v>350</v>
      </c>
    </row>
    <row r="3" spans="1:8" ht="15" customHeight="1">
      <c r="A3" s="160" t="s">
        <v>446</v>
      </c>
      <c r="B3" s="161" t="s">
        <v>447</v>
      </c>
      <c r="C3" s="160" t="s">
        <v>448</v>
      </c>
      <c r="D3" s="160" t="s">
        <v>1</v>
      </c>
      <c r="E3" s="160" t="s">
        <v>65</v>
      </c>
      <c r="F3" s="162">
        <v>500</v>
      </c>
      <c r="G3" s="162">
        <v>405</v>
      </c>
      <c r="H3" s="160" t="s">
        <v>449</v>
      </c>
    </row>
    <row r="4" spans="1:8" ht="15" customHeight="1">
      <c r="A4" s="160" t="s">
        <v>450</v>
      </c>
      <c r="B4" s="161" t="s">
        <v>86</v>
      </c>
      <c r="C4" s="160" t="s">
        <v>451</v>
      </c>
      <c r="D4" s="160" t="s">
        <v>7</v>
      </c>
      <c r="E4" s="160" t="s">
        <v>70</v>
      </c>
      <c r="F4" s="162">
        <v>5</v>
      </c>
      <c r="G4" s="162">
        <v>5</v>
      </c>
      <c r="H4" s="160" t="s">
        <v>449</v>
      </c>
    </row>
    <row r="5" spans="1:8" ht="15" customHeight="1">
      <c r="A5" s="160" t="s">
        <v>452</v>
      </c>
      <c r="B5" s="161" t="s">
        <v>86</v>
      </c>
      <c r="C5" s="160" t="s">
        <v>451</v>
      </c>
      <c r="D5" s="160" t="s">
        <v>12</v>
      </c>
      <c r="E5" s="160" t="s">
        <v>65</v>
      </c>
      <c r="F5" s="162">
        <v>100</v>
      </c>
      <c r="G5" s="162">
        <v>100</v>
      </c>
      <c r="H5" s="160" t="s">
        <v>449</v>
      </c>
    </row>
    <row r="6" spans="1:8" ht="15" customHeight="1">
      <c r="A6" s="163" t="s">
        <v>453</v>
      </c>
      <c r="B6" s="161" t="s">
        <v>454</v>
      </c>
      <c r="C6" s="163" t="s">
        <v>455</v>
      </c>
      <c r="D6" s="163" t="s">
        <v>1</v>
      </c>
      <c r="E6" s="163" t="s">
        <v>65</v>
      </c>
      <c r="F6" s="164">
        <v>60</v>
      </c>
      <c r="G6" s="164"/>
      <c r="H6" s="163" t="s">
        <v>456</v>
      </c>
    </row>
    <row r="7" spans="1:8" ht="15" customHeight="1">
      <c r="A7" s="163" t="s">
        <v>457</v>
      </c>
      <c r="B7" s="161" t="s">
        <v>454</v>
      </c>
      <c r="C7" s="163" t="s">
        <v>455</v>
      </c>
      <c r="D7" s="163" t="s">
        <v>7</v>
      </c>
      <c r="E7" s="163" t="s">
        <v>70</v>
      </c>
      <c r="F7" s="164">
        <v>5</v>
      </c>
      <c r="G7" s="164"/>
      <c r="H7" s="163" t="s">
        <v>456</v>
      </c>
    </row>
  </sheetData>
  <sheetProtection algorithmName="SHA-512" hashValue="r5ewrWzfnlz23Q60WJQlQV5JTM5INBJq2+XOVJmhedLShbGIJmnCuPROhUMW+qd7rsy2JQojcdW+mSHJJ39mgw==" saltValue="nTEegL6t4/qRs4OpzdnBRg==" spinCount="100000" sheet="1" objects="1" scenarios="1" autoFilter="0"/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B2792-15AD-4061-A330-4E016EAE3986}">
  <sheetPr codeName="Sheet14">
    <tabColor rgb="FFBA7517"/>
    <pageSetUpPr fitToPage="1"/>
  </sheetPr>
  <dimension ref="A1:H32"/>
  <sheetViews>
    <sheetView zoomScale="80" zoomScaleNormal="80" workbookViewId="0">
      <selection sqref="A1:XFD1048576"/>
    </sheetView>
  </sheetViews>
  <sheetFormatPr defaultColWidth="7.625" defaultRowHeight="15"/>
  <cols>
    <col min="1" max="1" width="3.5" style="65" customWidth="1"/>
    <col min="2" max="2" width="10.5" style="65" customWidth="1"/>
    <col min="3" max="3" width="28" style="65" customWidth="1"/>
    <col min="4" max="5" width="8.75" style="65" customWidth="1"/>
    <col min="6" max="6" width="12.25" style="65" customWidth="1"/>
    <col min="7" max="7" width="11.375" style="65" customWidth="1"/>
    <col min="8" max="8" width="12.25" style="65" customWidth="1"/>
    <col min="9" max="16384" width="7.625" style="65"/>
  </cols>
  <sheetData>
    <row r="1" spans="1:8" ht="19.5" customHeight="1" thickTop="1" thickBot="1">
      <c r="A1" s="274" t="s">
        <v>458</v>
      </c>
      <c r="B1" s="275"/>
      <c r="C1" s="275"/>
      <c r="D1" s="275"/>
      <c r="E1" s="275"/>
      <c r="F1" s="275"/>
      <c r="G1" s="275"/>
      <c r="H1" s="276"/>
    </row>
    <row r="2" spans="1:8" ht="18" customHeight="1" thickTop="1" thickBot="1">
      <c r="A2" s="277" t="s">
        <v>459</v>
      </c>
      <c r="B2" s="262"/>
      <c r="C2" s="262"/>
      <c r="D2" s="262"/>
      <c r="E2" s="262"/>
      <c r="F2" s="262"/>
      <c r="G2" s="262"/>
      <c r="H2" s="263"/>
    </row>
    <row r="3" spans="1:8" ht="15.75" customHeight="1">
      <c r="A3" s="278" t="s">
        <v>460</v>
      </c>
      <c r="B3" s="259"/>
      <c r="C3" s="259"/>
      <c r="D3" s="259"/>
      <c r="E3" s="259"/>
      <c r="F3" s="259"/>
      <c r="G3" s="259"/>
      <c r="H3" s="260"/>
    </row>
    <row r="4" spans="1:8" ht="6" customHeight="1" thickBot="1"/>
    <row r="5" spans="1:8" ht="30" customHeight="1" thickTop="1" thickBot="1">
      <c r="A5" s="279" t="s">
        <v>461</v>
      </c>
      <c r="B5" s="275"/>
      <c r="C5" s="275"/>
      <c r="D5" s="275"/>
      <c r="E5" s="275"/>
      <c r="F5" s="275"/>
      <c r="G5" s="275"/>
      <c r="H5" s="276"/>
    </row>
    <row r="6" spans="1:8" ht="21.75" customHeight="1" thickTop="1" thickBot="1">
      <c r="B6" s="271" t="s">
        <v>462</v>
      </c>
      <c r="C6" s="260"/>
      <c r="D6" s="280"/>
      <c r="E6" s="262"/>
      <c r="F6" s="262"/>
      <c r="G6" s="262"/>
      <c r="H6" s="263"/>
    </row>
    <row r="7" spans="1:8" ht="13.5" customHeight="1" thickBot="1">
      <c r="A7" s="256" t="s">
        <v>463</v>
      </c>
      <c r="B7" s="257"/>
      <c r="C7" s="257"/>
      <c r="D7" s="257"/>
      <c r="E7" s="257"/>
      <c r="F7" s="257"/>
      <c r="G7" s="257"/>
      <c r="H7" s="257"/>
    </row>
    <row r="8" spans="1:8" ht="21.75" customHeight="1" thickBot="1">
      <c r="B8" s="271" t="s">
        <v>464</v>
      </c>
      <c r="C8" s="260"/>
      <c r="D8" s="272">
        <f ca="1">TODAY()</f>
        <v>46222</v>
      </c>
      <c r="E8" s="262"/>
      <c r="F8" s="262"/>
      <c r="G8" s="262"/>
      <c r="H8" s="263"/>
    </row>
    <row r="9" spans="1:8" ht="21.75" customHeight="1" thickBot="1">
      <c r="B9" s="271" t="s">
        <v>465</v>
      </c>
      <c r="C9" s="260"/>
      <c r="D9" s="273"/>
      <c r="E9" s="262"/>
      <c r="F9" s="262"/>
      <c r="G9" s="262"/>
      <c r="H9" s="263"/>
    </row>
    <row r="10" spans="1:8" ht="21.75" customHeight="1" thickBot="1">
      <c r="B10" s="271" t="s">
        <v>168</v>
      </c>
      <c r="C10" s="260"/>
      <c r="D10" s="273"/>
      <c r="E10" s="262"/>
      <c r="F10" s="262"/>
      <c r="G10" s="262"/>
      <c r="H10" s="263"/>
    </row>
    <row r="11" spans="1:8" ht="13.5" customHeight="1" thickBot="1">
      <c r="A11" s="256" t="s">
        <v>466</v>
      </c>
      <c r="B11" s="257"/>
      <c r="C11" s="257"/>
      <c r="D11" s="257"/>
      <c r="E11" s="257"/>
      <c r="F11" s="257"/>
      <c r="G11" s="257"/>
      <c r="H11" s="257"/>
    </row>
    <row r="12" spans="1:8" ht="6" customHeight="1" thickBot="1">
      <c r="B12" s="65" t="s">
        <v>467</v>
      </c>
    </row>
    <row r="13" spans="1:8" ht="31.5" customHeight="1" thickBot="1">
      <c r="A13" s="165" t="s">
        <v>468</v>
      </c>
      <c r="B13" s="165" t="s">
        <v>469</v>
      </c>
      <c r="C13" s="165" t="s">
        <v>470</v>
      </c>
      <c r="D13" s="165" t="s">
        <v>471</v>
      </c>
      <c r="E13" s="165" t="s">
        <v>472</v>
      </c>
      <c r="F13" s="165" t="s">
        <v>473</v>
      </c>
      <c r="G13" s="165" t="s">
        <v>474</v>
      </c>
      <c r="H13" s="165" t="s">
        <v>475</v>
      </c>
    </row>
    <row r="14" spans="1:8" ht="19.5" customHeight="1" thickBot="1">
      <c r="A14" s="166">
        <v>1</v>
      </c>
      <c r="B14" s="167"/>
      <c r="C14" s="168" t="str">
        <f>IFERROR(VLOOKUP(B14,[2]ARTICLES!$A$2:$G$347,2,0),"")</f>
        <v/>
      </c>
      <c r="D14" s="169" t="str">
        <f>IFERROR(VLOOKUP(B14,[2]ARTICLES!$A$2:$G$347,3,0),"")</f>
        <v/>
      </c>
      <c r="E14" s="170"/>
      <c r="F14" s="170"/>
      <c r="G14" s="143" t="str">
        <f>IFERROR(VLOOKUP(B14,[2]ARTICLES!$A$2:$G$347,7,0),"")</f>
        <v/>
      </c>
      <c r="H14" s="143" t="str">
        <f t="shared" ref="H14:H21" si="0">IFERROR(F14*G14,"")</f>
        <v/>
      </c>
    </row>
    <row r="15" spans="1:8" ht="19.5" customHeight="1" thickBot="1">
      <c r="A15" s="166">
        <v>2</v>
      </c>
      <c r="B15" s="167"/>
      <c r="C15" s="168" t="str">
        <f>IFERROR(VLOOKUP(B15,[2]ARTICLES!$A$2:$G$347,2,0),"")</f>
        <v/>
      </c>
      <c r="D15" s="169" t="str">
        <f>IFERROR(VLOOKUP(B15,[2]ARTICLES!$A$2:$G$347,3,0),"")</f>
        <v/>
      </c>
      <c r="E15" s="170"/>
      <c r="F15" s="170"/>
      <c r="G15" s="143" t="str">
        <f>IFERROR(VLOOKUP(B15,[2]ARTICLES!$A$2:$G$347,7,0),"")</f>
        <v/>
      </c>
      <c r="H15" s="143" t="str">
        <f t="shared" si="0"/>
        <v/>
      </c>
    </row>
    <row r="16" spans="1:8" ht="19.5" customHeight="1" thickBot="1">
      <c r="A16" s="166">
        <v>3</v>
      </c>
      <c r="B16" s="167"/>
      <c r="C16" s="168" t="str">
        <f>IFERROR(VLOOKUP(B16,[2]ARTICLES!$A$2:$G$347,2,0),"")</f>
        <v/>
      </c>
      <c r="D16" s="169" t="str">
        <f>IFERROR(VLOOKUP(B16,[2]ARTICLES!$A$2:$G$347,3,0),"")</f>
        <v/>
      </c>
      <c r="E16" s="170"/>
      <c r="F16" s="170"/>
      <c r="G16" s="143" t="str">
        <f>IFERROR(VLOOKUP(B16,[2]ARTICLES!$A$2:$G$347,7,0),"")</f>
        <v/>
      </c>
      <c r="H16" s="143" t="str">
        <f t="shared" si="0"/>
        <v/>
      </c>
    </row>
    <row r="17" spans="1:8" ht="19.5" customHeight="1" thickBot="1">
      <c r="A17" s="166">
        <v>4</v>
      </c>
      <c r="B17" s="167"/>
      <c r="C17" s="168" t="str">
        <f>IFERROR(VLOOKUP(B17,[2]ARTICLES!$A$2:$G$347,2,0),"")</f>
        <v/>
      </c>
      <c r="D17" s="169" t="str">
        <f>IFERROR(VLOOKUP(B17,[2]ARTICLES!$A$2:$G$347,3,0),"")</f>
        <v/>
      </c>
      <c r="E17" s="170"/>
      <c r="F17" s="170"/>
      <c r="G17" s="143" t="str">
        <f>IFERROR(VLOOKUP(B17,[2]ARTICLES!$A$2:$G$347,7,0),"")</f>
        <v/>
      </c>
      <c r="H17" s="143" t="str">
        <f t="shared" si="0"/>
        <v/>
      </c>
    </row>
    <row r="18" spans="1:8" ht="19.5" customHeight="1" thickBot="1">
      <c r="A18" s="166">
        <v>5</v>
      </c>
      <c r="B18" s="167"/>
      <c r="C18" s="168" t="str">
        <f>IFERROR(VLOOKUP(B18,[2]ARTICLES!$A$2:$G$347,2,0),"")</f>
        <v/>
      </c>
      <c r="D18" s="169" t="str">
        <f>IFERROR(VLOOKUP(B18,[2]ARTICLES!$A$2:$G$347,3,0),"")</f>
        <v/>
      </c>
      <c r="E18" s="170"/>
      <c r="F18" s="170"/>
      <c r="G18" s="143" t="str">
        <f>IFERROR(VLOOKUP(B18,[2]ARTICLES!$A$2:$G$347,7,0),"")</f>
        <v/>
      </c>
      <c r="H18" s="143" t="str">
        <f t="shared" si="0"/>
        <v/>
      </c>
    </row>
    <row r="19" spans="1:8" ht="19.5" customHeight="1" thickBot="1">
      <c r="A19" s="166">
        <v>6</v>
      </c>
      <c r="B19" s="167"/>
      <c r="C19" s="168" t="str">
        <f>IFERROR(VLOOKUP(B19,[2]ARTICLES!$A$2:$G$347,2,0),"")</f>
        <v/>
      </c>
      <c r="D19" s="169" t="str">
        <f>IFERROR(VLOOKUP(B19,[2]ARTICLES!$A$2:$G$347,3,0),"")</f>
        <v/>
      </c>
      <c r="E19" s="170"/>
      <c r="F19" s="170"/>
      <c r="G19" s="143" t="str">
        <f>IFERROR(VLOOKUP(B19,[2]ARTICLES!$A$2:$G$347,7,0),"")</f>
        <v/>
      </c>
      <c r="H19" s="143" t="str">
        <f t="shared" si="0"/>
        <v/>
      </c>
    </row>
    <row r="20" spans="1:8" ht="19.5" customHeight="1" thickBot="1">
      <c r="A20" s="166">
        <v>7</v>
      </c>
      <c r="B20" s="167"/>
      <c r="C20" s="168" t="str">
        <f>IFERROR(VLOOKUP(B20,[2]ARTICLES!$A$2:$G$347,2,0),"")</f>
        <v/>
      </c>
      <c r="D20" s="169" t="str">
        <f>IFERROR(VLOOKUP(B20,[2]ARTICLES!$A$2:$G$347,3,0),"")</f>
        <v/>
      </c>
      <c r="E20" s="170"/>
      <c r="F20" s="170"/>
      <c r="G20" s="143" t="str">
        <f>IFERROR(VLOOKUP(B20,[2]ARTICLES!$A$2:$G$347,7,0),"")</f>
        <v/>
      </c>
      <c r="H20" s="143" t="str">
        <f t="shared" si="0"/>
        <v/>
      </c>
    </row>
    <row r="21" spans="1:8" ht="19.5" customHeight="1" thickBot="1">
      <c r="A21" s="166">
        <v>8</v>
      </c>
      <c r="B21" s="167"/>
      <c r="C21" s="168" t="str">
        <f>IFERROR(VLOOKUP(B21,[2]ARTICLES!$A$2:$G$347,2,0),"")</f>
        <v/>
      </c>
      <c r="D21" s="169" t="str">
        <f>IFERROR(VLOOKUP(B21,[2]ARTICLES!$A$2:$G$347,3,0),"")</f>
        <v/>
      </c>
      <c r="E21" s="170"/>
      <c r="F21" s="170"/>
      <c r="G21" s="143" t="str">
        <f>IFERROR(VLOOKUP(B21,[2]ARTICLES!$A$2:$G$347,7,0),"")</f>
        <v/>
      </c>
      <c r="H21" s="143" t="str">
        <f t="shared" si="0"/>
        <v/>
      </c>
    </row>
    <row r="22" spans="1:8" ht="21.75" customHeight="1" thickBot="1">
      <c r="A22" s="261" t="s">
        <v>476</v>
      </c>
      <c r="B22" s="262"/>
      <c r="C22" s="262"/>
      <c r="D22" s="262"/>
      <c r="E22" s="262"/>
      <c r="F22" s="262"/>
      <c r="G22" s="263"/>
      <c r="H22" s="171">
        <f>SUM(H14:H21)</f>
        <v>0</v>
      </c>
    </row>
    <row r="23" spans="1:8" ht="13.5" customHeight="1" thickBot="1">
      <c r="A23" s="256" t="s">
        <v>477</v>
      </c>
      <c r="B23" s="257"/>
      <c r="C23" s="257"/>
      <c r="D23" s="257"/>
      <c r="E23" s="257"/>
      <c r="F23" s="257"/>
      <c r="G23" s="257"/>
      <c r="H23" s="257"/>
    </row>
    <row r="24" spans="1:8" ht="18" customHeight="1" thickBot="1">
      <c r="A24" s="264" t="s">
        <v>478</v>
      </c>
      <c r="B24" s="259"/>
      <c r="C24" s="259"/>
      <c r="D24" s="259"/>
      <c r="E24" s="259"/>
      <c r="F24" s="259"/>
      <c r="G24" s="259"/>
      <c r="H24" s="260"/>
    </row>
    <row r="25" spans="1:8" ht="18" customHeight="1" thickBot="1">
      <c r="A25" s="265"/>
      <c r="B25" s="266"/>
      <c r="C25" s="266"/>
      <c r="D25" s="266"/>
      <c r="E25" s="266"/>
      <c r="F25" s="266"/>
      <c r="G25" s="266"/>
      <c r="H25" s="267"/>
    </row>
    <row r="26" spans="1:8" ht="18" customHeight="1" thickBot="1">
      <c r="A26" s="268"/>
      <c r="B26" s="257"/>
      <c r="C26" s="257"/>
      <c r="D26" s="257"/>
      <c r="E26" s="257"/>
      <c r="F26" s="257"/>
      <c r="G26" s="257"/>
      <c r="H26" s="269"/>
    </row>
    <row r="27" spans="1:8" ht="7.5" customHeight="1" thickBot="1"/>
    <row r="28" spans="1:8" ht="24" customHeight="1" thickBot="1">
      <c r="A28" s="270" t="s">
        <v>479</v>
      </c>
      <c r="B28" s="262"/>
      <c r="C28" s="263"/>
      <c r="D28" s="270" t="s">
        <v>480</v>
      </c>
      <c r="E28" s="262"/>
      <c r="F28" s="263"/>
      <c r="G28" s="270" t="s">
        <v>481</v>
      </c>
      <c r="H28" s="263"/>
    </row>
    <row r="29" spans="1:8" ht="24" customHeight="1" thickTop="1" thickBot="1">
      <c r="A29" s="250" t="s">
        <v>482</v>
      </c>
      <c r="B29" s="251"/>
      <c r="C29" s="252"/>
      <c r="D29" s="250" t="s">
        <v>482</v>
      </c>
      <c r="E29" s="251"/>
      <c r="F29" s="252"/>
      <c r="G29" s="250" t="s">
        <v>482</v>
      </c>
      <c r="H29" s="252"/>
    </row>
    <row r="30" spans="1:8" ht="24" customHeight="1" thickTop="1" thickBot="1">
      <c r="A30" s="253"/>
      <c r="B30" s="254"/>
      <c r="C30" s="255"/>
      <c r="D30" s="253"/>
      <c r="E30" s="254"/>
      <c r="F30" s="255"/>
      <c r="G30" s="253"/>
      <c r="H30" s="255"/>
    </row>
    <row r="31" spans="1:8" ht="13.5" customHeight="1" thickTop="1" thickBot="1">
      <c r="A31" s="256" t="s">
        <v>483</v>
      </c>
      <c r="B31" s="257"/>
      <c r="C31" s="257"/>
      <c r="D31" s="257"/>
      <c r="E31" s="257"/>
      <c r="F31" s="257"/>
      <c r="G31" s="257"/>
      <c r="H31" s="257"/>
    </row>
    <row r="32" spans="1:8" ht="13.5" customHeight="1">
      <c r="A32" s="258" t="s">
        <v>152</v>
      </c>
      <c r="B32" s="259"/>
      <c r="C32" s="259"/>
      <c r="D32" s="259"/>
      <c r="E32" s="259"/>
      <c r="F32" s="259"/>
      <c r="G32" s="259"/>
      <c r="H32" s="260"/>
    </row>
  </sheetData>
  <sheetProtection algorithmName="SHA-512" hashValue="wYiq9d4V8DPgXVvvzdrbVuhRZYkU5uAFh2cn9V0kR7LjTJJWMWUCVVub0MLgB6akJ25FZLjwizHUx7Eqz1PIWA==" saltValue="6HO5d22EBh2a0oOYAu+w/A==" spinCount="100000" sheet="1" objects="1" scenarios="1" autoFilter="0"/>
  <mergeCells count="26">
    <mergeCell ref="A1:H1"/>
    <mergeCell ref="A2:H2"/>
    <mergeCell ref="A3:H3"/>
    <mergeCell ref="A5:H5"/>
    <mergeCell ref="B6:C6"/>
    <mergeCell ref="D6:H6"/>
    <mergeCell ref="A28:C28"/>
    <mergeCell ref="D28:F28"/>
    <mergeCell ref="G28:H28"/>
    <mergeCell ref="A7:H7"/>
    <mergeCell ref="B8:C8"/>
    <mergeCell ref="D8:H8"/>
    <mergeCell ref="B9:C9"/>
    <mergeCell ref="D9:H9"/>
    <mergeCell ref="B10:C10"/>
    <mergeCell ref="D10:H10"/>
    <mergeCell ref="A11:H11"/>
    <mergeCell ref="A22:G22"/>
    <mergeCell ref="A23:H23"/>
    <mergeCell ref="A24:H24"/>
    <mergeCell ref="A25:H26"/>
    <mergeCell ref="A29:C30"/>
    <mergeCell ref="D29:F30"/>
    <mergeCell ref="G29:H30"/>
    <mergeCell ref="A31:H31"/>
    <mergeCell ref="A32:H32"/>
  </mergeCells>
  <printOptions horizontalCentered="1"/>
  <pageMargins left="0.75" right="0.75" top="1" bottom="0.75" header="0.511811023622047" footer="0.511811023622047"/>
  <pageSetup paperSize="9" orientation="portrait" horizontalDpi="300" verticalDpi="300"/>
  <headerFooter>
    <oddHeader>&amp;LERP Acad�mie  -  Direction de l'Education, El Bayadh&amp;R[Logo]</oddHeader>
    <oddFooter>&amp;LERP Academie vv13.4&amp;RPage &amp;P /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8E3C5-D030-4A12-B8BC-2572056D4E1C}">
  <sheetPr codeName="Sheet15">
    <tabColor rgb="FFB45309"/>
    <pageSetUpPr fitToPage="1"/>
  </sheetPr>
  <dimension ref="A1:H31"/>
  <sheetViews>
    <sheetView zoomScaleNormal="100" workbookViewId="0">
      <selection sqref="A1:XFD1048576"/>
    </sheetView>
  </sheetViews>
  <sheetFormatPr defaultColWidth="7.625" defaultRowHeight="15"/>
  <cols>
    <col min="1" max="1" width="3.5" style="65" customWidth="1"/>
    <col min="2" max="2" width="10.5" style="65" customWidth="1"/>
    <col min="3" max="3" width="28" style="65" customWidth="1"/>
    <col min="4" max="5" width="8.75" style="65" customWidth="1"/>
    <col min="6" max="6" width="12.25" style="65" customWidth="1"/>
    <col min="7" max="7" width="11.375" style="65" customWidth="1"/>
    <col min="8" max="8" width="12.25" style="65" customWidth="1"/>
    <col min="9" max="16384" width="7.625" style="65"/>
  </cols>
  <sheetData>
    <row r="1" spans="1:8" ht="19.5" customHeight="1" thickTop="1" thickBot="1">
      <c r="A1" s="274" t="s">
        <v>458</v>
      </c>
      <c r="B1" s="275"/>
      <c r="C1" s="275"/>
      <c r="D1" s="275"/>
      <c r="E1" s="275"/>
      <c r="F1" s="275"/>
      <c r="G1" s="275"/>
      <c r="H1" s="276"/>
    </row>
    <row r="2" spans="1:8" ht="18" customHeight="1" thickTop="1" thickBot="1">
      <c r="A2" s="277" t="s">
        <v>459</v>
      </c>
      <c r="B2" s="262"/>
      <c r="C2" s="262"/>
      <c r="D2" s="262"/>
      <c r="E2" s="262"/>
      <c r="F2" s="262"/>
      <c r="G2" s="262"/>
      <c r="H2" s="263"/>
    </row>
    <row r="3" spans="1:8" ht="15.75" customHeight="1">
      <c r="A3" s="278" t="s">
        <v>460</v>
      </c>
      <c r="B3" s="259"/>
      <c r="C3" s="259"/>
      <c r="D3" s="259"/>
      <c r="E3" s="259"/>
      <c r="F3" s="259"/>
      <c r="G3" s="259"/>
      <c r="H3" s="260"/>
    </row>
    <row r="4" spans="1:8" ht="6" customHeight="1" thickBot="1"/>
    <row r="5" spans="1:8" ht="30" customHeight="1" thickTop="1" thickBot="1">
      <c r="A5" s="279" t="s">
        <v>484</v>
      </c>
      <c r="B5" s="275"/>
      <c r="C5" s="275"/>
      <c r="D5" s="275"/>
      <c r="E5" s="275"/>
      <c r="F5" s="275"/>
      <c r="G5" s="275"/>
      <c r="H5" s="276"/>
    </row>
    <row r="6" spans="1:8" ht="21.75" customHeight="1" thickTop="1" thickBot="1">
      <c r="B6" s="271" t="s">
        <v>485</v>
      </c>
      <c r="C6" s="260"/>
      <c r="D6" s="280"/>
      <c r="E6" s="262"/>
      <c r="F6" s="262"/>
      <c r="G6" s="262"/>
      <c r="H6" s="263"/>
    </row>
    <row r="7" spans="1:8" ht="13.5" customHeight="1" thickBot="1">
      <c r="A7" s="256" t="s">
        <v>486</v>
      </c>
      <c r="B7" s="257"/>
      <c r="C7" s="257"/>
      <c r="D7" s="257"/>
      <c r="E7" s="257"/>
      <c r="F7" s="257"/>
      <c r="G7" s="257"/>
      <c r="H7" s="257"/>
    </row>
    <row r="8" spans="1:8" ht="21.75" customHeight="1" thickBot="1">
      <c r="B8" s="271" t="s">
        <v>487</v>
      </c>
      <c r="C8" s="260"/>
      <c r="D8" s="272">
        <f ca="1">TODAY()</f>
        <v>46222</v>
      </c>
      <c r="E8" s="262"/>
      <c r="F8" s="262"/>
      <c r="G8" s="262"/>
      <c r="H8" s="263"/>
    </row>
    <row r="9" spans="1:8" ht="21.75" customHeight="1" thickBot="1">
      <c r="B9" s="271" t="s">
        <v>488</v>
      </c>
      <c r="C9" s="260"/>
      <c r="D9" s="265"/>
      <c r="E9" s="262"/>
      <c r="F9" s="262"/>
      <c r="G9" s="262"/>
      <c r="H9" s="263"/>
    </row>
    <row r="10" spans="1:8" ht="13.5" customHeight="1" thickBot="1">
      <c r="A10" s="256" t="s">
        <v>489</v>
      </c>
      <c r="B10" s="257"/>
      <c r="C10" s="257"/>
      <c r="D10" s="257"/>
      <c r="E10" s="257"/>
      <c r="F10" s="257"/>
      <c r="G10" s="257"/>
      <c r="H10" s="257"/>
    </row>
    <row r="11" spans="1:8" ht="21.75" customHeight="1" thickBot="1">
      <c r="B11" s="271" t="s">
        <v>490</v>
      </c>
      <c r="C11" s="260"/>
      <c r="D11" s="265"/>
      <c r="E11" s="262"/>
      <c r="F11" s="262"/>
      <c r="G11" s="262"/>
      <c r="H11" s="263"/>
    </row>
    <row r="12" spans="1:8" ht="13.5" customHeight="1" thickBot="1">
      <c r="A12" s="256" t="s">
        <v>491</v>
      </c>
      <c r="B12" s="257"/>
      <c r="C12" s="257"/>
      <c r="D12" s="257"/>
      <c r="E12" s="257"/>
      <c r="F12" s="257"/>
      <c r="G12" s="257"/>
      <c r="H12" s="257"/>
    </row>
    <row r="13" spans="1:8" ht="6" customHeight="1" thickBot="1"/>
    <row r="14" spans="1:8" ht="31.5" customHeight="1" thickBot="1">
      <c r="A14" s="165" t="s">
        <v>468</v>
      </c>
      <c r="B14" s="165" t="s">
        <v>492</v>
      </c>
      <c r="C14" s="165" t="s">
        <v>470</v>
      </c>
      <c r="D14" s="165" t="s">
        <v>471</v>
      </c>
      <c r="E14" s="165" t="s">
        <v>472</v>
      </c>
      <c r="F14" s="165" t="s">
        <v>473</v>
      </c>
      <c r="G14" s="165" t="s">
        <v>474</v>
      </c>
      <c r="H14" s="165" t="s">
        <v>475</v>
      </c>
    </row>
    <row r="15" spans="1:8" ht="19.5" customHeight="1" thickBot="1">
      <c r="A15" s="166">
        <v>1</v>
      </c>
      <c r="B15" s="167"/>
      <c r="C15" s="168" t="str">
        <f>IFERROR(VLOOKUP(B15,[2]ARTICLES!$A$2:$G$347,2,0),"")</f>
        <v/>
      </c>
      <c r="D15" s="169" t="str">
        <f>IFERROR(VLOOKUP(B15,[2]ARTICLES!$A$2:$G$347,3,0),"")</f>
        <v/>
      </c>
      <c r="E15" s="170"/>
      <c r="F15" s="170"/>
      <c r="G15" s="143" t="str">
        <f>IFERROR(VLOOKUP(B15,[2]ARTICLES!$A$2:$G$347,7,0),"")</f>
        <v/>
      </c>
      <c r="H15" s="143" t="str">
        <f t="shared" ref="H15:H20" si="0">IFERROR(F15*G15,"")</f>
        <v/>
      </c>
    </row>
    <row r="16" spans="1:8" ht="19.5" customHeight="1" thickBot="1">
      <c r="A16" s="166">
        <v>2</v>
      </c>
      <c r="B16" s="167"/>
      <c r="C16" s="168" t="str">
        <f>IFERROR(VLOOKUP(B16,[2]ARTICLES!$A$2:$G$347,2,0),"")</f>
        <v/>
      </c>
      <c r="D16" s="169" t="str">
        <f>IFERROR(VLOOKUP(B16,[2]ARTICLES!$A$2:$G$347,3,0),"")</f>
        <v/>
      </c>
      <c r="E16" s="170"/>
      <c r="F16" s="170"/>
      <c r="G16" s="143" t="str">
        <f>IFERROR(VLOOKUP(B16,[2]ARTICLES!$A$2:$G$347,7,0),"")</f>
        <v/>
      </c>
      <c r="H16" s="143" t="str">
        <f t="shared" si="0"/>
        <v/>
      </c>
    </row>
    <row r="17" spans="1:8" ht="19.5" customHeight="1" thickBot="1">
      <c r="A17" s="166">
        <v>3</v>
      </c>
      <c r="B17" s="167"/>
      <c r="C17" s="168" t="str">
        <f>IFERROR(VLOOKUP(B17,[2]ARTICLES!$A$2:$G$347,2,0),"")</f>
        <v/>
      </c>
      <c r="D17" s="169" t="str">
        <f>IFERROR(VLOOKUP(B17,[2]ARTICLES!$A$2:$G$347,3,0),"")</f>
        <v/>
      </c>
      <c r="E17" s="170"/>
      <c r="F17" s="170"/>
      <c r="G17" s="143" t="str">
        <f>IFERROR(VLOOKUP(B17,[2]ARTICLES!$A$2:$G$347,7,0),"")</f>
        <v/>
      </c>
      <c r="H17" s="143" t="str">
        <f t="shared" si="0"/>
        <v/>
      </c>
    </row>
    <row r="18" spans="1:8" ht="19.5" customHeight="1" thickBot="1">
      <c r="A18" s="166">
        <v>4</v>
      </c>
      <c r="B18" s="167"/>
      <c r="C18" s="168" t="str">
        <f>IFERROR(VLOOKUP(B18,[2]ARTICLES!$A$2:$G$347,2,0),"")</f>
        <v/>
      </c>
      <c r="D18" s="169" t="str">
        <f>IFERROR(VLOOKUP(B18,[2]ARTICLES!$A$2:$G$347,3,0),"")</f>
        <v/>
      </c>
      <c r="E18" s="170"/>
      <c r="F18" s="170"/>
      <c r="G18" s="143" t="str">
        <f>IFERROR(VLOOKUP(B18,[2]ARTICLES!$A$2:$G$347,7,0),"")</f>
        <v/>
      </c>
      <c r="H18" s="143" t="str">
        <f t="shared" si="0"/>
        <v/>
      </c>
    </row>
    <row r="19" spans="1:8" ht="19.5" customHeight="1" thickBot="1">
      <c r="A19" s="166">
        <v>5</v>
      </c>
      <c r="B19" s="167"/>
      <c r="C19" s="168" t="str">
        <f>IFERROR(VLOOKUP(B19,[2]ARTICLES!$A$2:$G$347,2,0),"")</f>
        <v/>
      </c>
      <c r="D19" s="169" t="str">
        <f>IFERROR(VLOOKUP(B19,[2]ARTICLES!$A$2:$G$347,3,0),"")</f>
        <v/>
      </c>
      <c r="E19" s="170"/>
      <c r="F19" s="170"/>
      <c r="G19" s="143" t="str">
        <f>IFERROR(VLOOKUP(B19,[2]ARTICLES!$A$2:$G$347,7,0),"")</f>
        <v/>
      </c>
      <c r="H19" s="143" t="str">
        <f t="shared" si="0"/>
        <v/>
      </c>
    </row>
    <row r="20" spans="1:8" ht="19.5" customHeight="1" thickBot="1">
      <c r="A20" s="166">
        <v>6</v>
      </c>
      <c r="B20" s="167"/>
      <c r="C20" s="168" t="str">
        <f>IFERROR(VLOOKUP(B20,[2]ARTICLES!$A$2:$G$347,2,0),"")</f>
        <v/>
      </c>
      <c r="D20" s="169" t="str">
        <f>IFERROR(VLOOKUP(B20,[2]ARTICLES!$A$2:$G$347,3,0),"")</f>
        <v/>
      </c>
      <c r="E20" s="170"/>
      <c r="F20" s="170"/>
      <c r="G20" s="143" t="str">
        <f>IFERROR(VLOOKUP(B20,[2]ARTICLES!$A$2:$G$347,7,0),"")</f>
        <v/>
      </c>
      <c r="H20" s="143" t="str">
        <f t="shared" si="0"/>
        <v/>
      </c>
    </row>
    <row r="21" spans="1:8" ht="21.75" customHeight="1" thickBot="1">
      <c r="A21" s="261" t="s">
        <v>476</v>
      </c>
      <c r="B21" s="262"/>
      <c r="C21" s="262"/>
      <c r="D21" s="262"/>
      <c r="E21" s="262"/>
      <c r="F21" s="262"/>
      <c r="G21" s="263"/>
      <c r="H21" s="171">
        <f>SUM(H15:H20)</f>
        <v>0</v>
      </c>
    </row>
    <row r="22" spans="1:8" ht="13.5" customHeight="1" thickBot="1">
      <c r="A22" s="256" t="s">
        <v>493</v>
      </c>
      <c r="B22" s="257"/>
      <c r="C22" s="257"/>
      <c r="D22" s="257"/>
      <c r="E22" s="257"/>
      <c r="F22" s="257"/>
      <c r="G22" s="257"/>
      <c r="H22" s="257"/>
    </row>
    <row r="23" spans="1:8" ht="18" customHeight="1" thickBot="1">
      <c r="A23" s="264" t="s">
        <v>478</v>
      </c>
      <c r="B23" s="259"/>
      <c r="C23" s="259"/>
      <c r="D23" s="259"/>
      <c r="E23" s="259"/>
      <c r="F23" s="259"/>
      <c r="G23" s="259"/>
      <c r="H23" s="260"/>
    </row>
    <row r="24" spans="1:8" ht="18" customHeight="1" thickBot="1">
      <c r="A24" s="265"/>
      <c r="B24" s="266"/>
      <c r="C24" s="266"/>
      <c r="D24" s="266"/>
      <c r="E24" s="266"/>
      <c r="F24" s="266"/>
      <c r="G24" s="266"/>
      <c r="H24" s="267"/>
    </row>
    <row r="25" spans="1:8" ht="18" customHeight="1" thickBot="1">
      <c r="A25" s="268"/>
      <c r="B25" s="257"/>
      <c r="C25" s="257"/>
      <c r="D25" s="257"/>
      <c r="E25" s="257"/>
      <c r="F25" s="257"/>
      <c r="G25" s="257"/>
      <c r="H25" s="269"/>
    </row>
    <row r="26" spans="1:8" ht="7.5" customHeight="1" thickBot="1"/>
    <row r="27" spans="1:8" ht="24" customHeight="1" thickBot="1">
      <c r="A27" s="270" t="s">
        <v>494</v>
      </c>
      <c r="B27" s="263"/>
      <c r="C27" s="270" t="s">
        <v>495</v>
      </c>
      <c r="D27" s="262"/>
      <c r="E27" s="263"/>
      <c r="F27" s="270" t="s">
        <v>496</v>
      </c>
      <c r="G27" s="262"/>
      <c r="H27" s="263"/>
    </row>
    <row r="28" spans="1:8" ht="24" customHeight="1" thickTop="1" thickBot="1">
      <c r="A28" s="250" t="s">
        <v>482</v>
      </c>
      <c r="B28" s="252"/>
      <c r="C28" s="250" t="s">
        <v>482</v>
      </c>
      <c r="D28" s="251"/>
      <c r="E28" s="252"/>
      <c r="F28" s="250" t="s">
        <v>482</v>
      </c>
      <c r="G28" s="251"/>
      <c r="H28" s="252"/>
    </row>
    <row r="29" spans="1:8" ht="24" customHeight="1" thickTop="1" thickBot="1">
      <c r="A29" s="253"/>
      <c r="B29" s="255"/>
      <c r="C29" s="253"/>
      <c r="D29" s="254"/>
      <c r="E29" s="255"/>
      <c r="F29" s="253"/>
      <c r="G29" s="254"/>
      <c r="H29" s="255"/>
    </row>
    <row r="30" spans="1:8" ht="13.5" customHeight="1" thickTop="1" thickBot="1">
      <c r="A30" s="256" t="s">
        <v>497</v>
      </c>
      <c r="B30" s="257"/>
      <c r="C30" s="257"/>
      <c r="D30" s="257"/>
      <c r="E30" s="257"/>
      <c r="F30" s="257"/>
      <c r="G30" s="257"/>
      <c r="H30" s="257"/>
    </row>
    <row r="31" spans="1:8" ht="13.5" customHeight="1">
      <c r="A31" s="258" t="s">
        <v>152</v>
      </c>
      <c r="B31" s="259"/>
      <c r="C31" s="259"/>
      <c r="D31" s="259"/>
      <c r="E31" s="259"/>
      <c r="F31" s="259"/>
      <c r="G31" s="259"/>
      <c r="H31" s="260"/>
    </row>
  </sheetData>
  <sheetProtection algorithmName="SHA-512" hashValue="IyH0LpbbaKZqxFLGhFV/yeGh0Qus2g7bOIYRv2GeI8eXtgXYeG2BeAfXWW7bm1XOHnSSbF4ceytIHbIg/0Yd8Q==" saltValue="IW1wHqqukeCanRmcBOluVQ==" spinCount="100000" sheet="1" objects="1" scenarios="1" autoFilter="0"/>
  <mergeCells count="27">
    <mergeCell ref="A1:H1"/>
    <mergeCell ref="A2:H2"/>
    <mergeCell ref="A3:H3"/>
    <mergeCell ref="A5:H5"/>
    <mergeCell ref="B6:C6"/>
    <mergeCell ref="D6:H6"/>
    <mergeCell ref="A23:H23"/>
    <mergeCell ref="A7:H7"/>
    <mergeCell ref="B8:C8"/>
    <mergeCell ref="D8:H8"/>
    <mergeCell ref="B9:C9"/>
    <mergeCell ref="D9:H9"/>
    <mergeCell ref="A10:H10"/>
    <mergeCell ref="B11:C11"/>
    <mergeCell ref="D11:H11"/>
    <mergeCell ref="A12:H12"/>
    <mergeCell ref="A21:G21"/>
    <mergeCell ref="A22:H22"/>
    <mergeCell ref="A30:H30"/>
    <mergeCell ref="A31:H31"/>
    <mergeCell ref="A24:H25"/>
    <mergeCell ref="A27:B27"/>
    <mergeCell ref="C27:E27"/>
    <mergeCell ref="F27:H27"/>
    <mergeCell ref="A28:B29"/>
    <mergeCell ref="C28:E29"/>
    <mergeCell ref="F28:H29"/>
  </mergeCells>
  <printOptions horizontalCentered="1"/>
  <pageMargins left="0.75" right="0.75" top="1" bottom="0.75" header="0.511811023622047" footer="0.511811023622047"/>
  <pageSetup paperSize="9" orientation="portrait" horizontalDpi="300" verticalDpi="300"/>
  <headerFooter>
    <oddHeader>&amp;LERP Acad�mie  -  Direction de l'Education, El Bayadh&amp;R[Logo]</oddHeader>
    <oddFooter>&amp;LERP Academie vv13.4&amp;RPage 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6678-EBB9-4091-94D9-E7ABA4B4256F}">
  <sheetPr codeName="Sheet16">
    <tabColor rgb="FFB45309"/>
    <pageSetUpPr fitToPage="1"/>
  </sheetPr>
  <dimension ref="A1:H34"/>
  <sheetViews>
    <sheetView zoomScaleNormal="100" workbookViewId="0">
      <selection sqref="A1:XFD1048576"/>
    </sheetView>
  </sheetViews>
  <sheetFormatPr defaultColWidth="7.625" defaultRowHeight="15"/>
  <cols>
    <col min="1" max="1" width="3.5" style="65" customWidth="1"/>
    <col min="2" max="2" width="10.5" style="65" customWidth="1"/>
    <col min="3" max="3" width="28" style="65" customWidth="1"/>
    <col min="4" max="5" width="8.75" style="65" customWidth="1"/>
    <col min="6" max="6" width="12.25" style="65" customWidth="1"/>
    <col min="7" max="7" width="11.375" style="65" customWidth="1"/>
    <col min="8" max="8" width="12.25" style="65" customWidth="1"/>
    <col min="9" max="16384" width="7.625" style="65"/>
  </cols>
  <sheetData>
    <row r="1" spans="1:8" ht="19.5" customHeight="1" thickTop="1" thickBot="1">
      <c r="A1" s="274" t="s">
        <v>458</v>
      </c>
      <c r="B1" s="275"/>
      <c r="C1" s="275"/>
      <c r="D1" s="275"/>
      <c r="E1" s="275"/>
      <c r="F1" s="275"/>
      <c r="G1" s="275"/>
      <c r="H1" s="276"/>
    </row>
    <row r="2" spans="1:8" ht="18" customHeight="1" thickTop="1" thickBot="1">
      <c r="A2" s="277" t="s">
        <v>459</v>
      </c>
      <c r="B2" s="262"/>
      <c r="C2" s="262"/>
      <c r="D2" s="262"/>
      <c r="E2" s="262"/>
      <c r="F2" s="262"/>
      <c r="G2" s="262"/>
      <c r="H2" s="263"/>
    </row>
    <row r="3" spans="1:8" ht="15.75" customHeight="1">
      <c r="A3" s="278" t="s">
        <v>460</v>
      </c>
      <c r="B3" s="259"/>
      <c r="C3" s="259"/>
      <c r="D3" s="259"/>
      <c r="E3" s="259"/>
      <c r="F3" s="259"/>
      <c r="G3" s="259"/>
      <c r="H3" s="260"/>
    </row>
    <row r="4" spans="1:8" ht="6" customHeight="1" thickBot="1"/>
    <row r="5" spans="1:8" ht="30" customHeight="1" thickTop="1" thickBot="1">
      <c r="A5" s="279" t="s">
        <v>498</v>
      </c>
      <c r="B5" s="275"/>
      <c r="C5" s="275"/>
      <c r="D5" s="275"/>
      <c r="E5" s="275"/>
      <c r="F5" s="275"/>
      <c r="G5" s="275"/>
      <c r="H5" s="276"/>
    </row>
    <row r="6" spans="1:8" ht="21.75" customHeight="1" thickTop="1" thickBot="1">
      <c r="B6" s="271" t="s">
        <v>499</v>
      </c>
      <c r="C6" s="260"/>
      <c r="D6" s="280"/>
      <c r="E6" s="262"/>
      <c r="F6" s="262"/>
      <c r="G6" s="262"/>
      <c r="H6" s="263"/>
    </row>
    <row r="7" spans="1:8" ht="13.5" customHeight="1" thickBot="1">
      <c r="A7" s="256" t="s">
        <v>500</v>
      </c>
      <c r="B7" s="257"/>
      <c r="C7" s="257"/>
      <c r="D7" s="257"/>
      <c r="E7" s="257"/>
      <c r="F7" s="257"/>
      <c r="G7" s="257"/>
      <c r="H7" s="257"/>
    </row>
    <row r="8" spans="1:8" ht="21.75" customHeight="1" thickBot="1">
      <c r="B8" s="271" t="s">
        <v>501</v>
      </c>
      <c r="C8" s="260"/>
      <c r="D8" s="272">
        <f ca="1">TODAY()</f>
        <v>46222</v>
      </c>
      <c r="E8" s="262"/>
      <c r="F8" s="262"/>
      <c r="G8" s="262"/>
      <c r="H8" s="263"/>
    </row>
    <row r="9" spans="1:8" ht="21.75" customHeight="1" thickBot="1">
      <c r="B9" s="281" t="s">
        <v>502</v>
      </c>
      <c r="C9" s="260"/>
      <c r="D9" s="265"/>
      <c r="E9" s="262"/>
      <c r="F9" s="262"/>
      <c r="G9" s="262"/>
      <c r="H9" s="263"/>
    </row>
    <row r="10" spans="1:8" ht="13.5" customHeight="1" thickBot="1">
      <c r="A10" s="256" t="s">
        <v>503</v>
      </c>
      <c r="B10" s="257"/>
      <c r="C10" s="257"/>
      <c r="D10" s="257"/>
      <c r="E10" s="257"/>
      <c r="F10" s="257"/>
      <c r="G10" s="257"/>
      <c r="H10" s="257"/>
    </row>
    <row r="11" spans="1:8" ht="21.75" customHeight="1" thickBot="1">
      <c r="B11" s="271" t="s">
        <v>504</v>
      </c>
      <c r="C11" s="260"/>
      <c r="D11" s="265"/>
      <c r="E11" s="262"/>
      <c r="F11" s="262"/>
      <c r="G11" s="262"/>
      <c r="H11" s="263"/>
    </row>
    <row r="12" spans="1:8" ht="13.5" customHeight="1" thickBot="1">
      <c r="A12" s="256" t="s">
        <v>505</v>
      </c>
      <c r="B12" s="257"/>
      <c r="C12" s="257"/>
      <c r="D12" s="257"/>
      <c r="E12" s="257"/>
      <c r="F12" s="257"/>
      <c r="G12" s="257"/>
      <c r="H12" s="257"/>
    </row>
    <row r="13" spans="1:8" ht="21.75" customHeight="1" thickBot="1">
      <c r="B13" s="271" t="s">
        <v>506</v>
      </c>
      <c r="C13" s="260"/>
      <c r="D13" s="265"/>
      <c r="E13" s="262"/>
      <c r="F13" s="262"/>
      <c r="G13" s="262"/>
      <c r="H13" s="263"/>
    </row>
    <row r="14" spans="1:8" ht="13.5" customHeight="1" thickBot="1">
      <c r="A14" s="256" t="s">
        <v>507</v>
      </c>
      <c r="B14" s="257"/>
      <c r="C14" s="257"/>
      <c r="D14" s="257"/>
      <c r="E14" s="257"/>
      <c r="F14" s="257"/>
      <c r="G14" s="257"/>
      <c r="H14" s="257"/>
    </row>
    <row r="15" spans="1:8" ht="6" customHeight="1" thickBot="1"/>
    <row r="16" spans="1:8" ht="31.5" customHeight="1" thickBot="1">
      <c r="A16" s="165" t="s">
        <v>468</v>
      </c>
      <c r="B16" s="165" t="s">
        <v>492</v>
      </c>
      <c r="C16" s="165" t="s">
        <v>470</v>
      </c>
      <c r="D16" s="165" t="s">
        <v>471</v>
      </c>
      <c r="E16" s="165" t="s">
        <v>472</v>
      </c>
      <c r="F16" s="165" t="s">
        <v>473</v>
      </c>
      <c r="G16" s="165" t="s">
        <v>474</v>
      </c>
      <c r="H16" s="165" t="s">
        <v>475</v>
      </c>
    </row>
    <row r="17" spans="1:8" ht="19.5" customHeight="1" thickBot="1">
      <c r="A17" s="166">
        <v>1</v>
      </c>
      <c r="B17" s="167"/>
      <c r="C17" s="168" t="str">
        <f>IFERROR(VLOOKUP(B17,[2]ARTICLES!$A$2:$G$347,2,0),"")</f>
        <v/>
      </c>
      <c r="D17" s="169" t="str">
        <f>IFERROR(VLOOKUP(B17,[2]ARTICLES!$A$2:$G$347,3,0),"")</f>
        <v/>
      </c>
      <c r="E17" s="170"/>
      <c r="F17" s="170"/>
      <c r="G17" s="143" t="str">
        <f>IFERROR(VLOOKUP(B17,[2]ARTICLES!$A$2:$G$347,7,0),"")</f>
        <v/>
      </c>
      <c r="H17" s="143" t="str">
        <f t="shared" ref="H17:H24" si="0">IFERROR(F17*G17,"")</f>
        <v/>
      </c>
    </row>
    <row r="18" spans="1:8" ht="19.5" customHeight="1" thickBot="1">
      <c r="A18" s="166">
        <v>2</v>
      </c>
      <c r="B18" s="167"/>
      <c r="C18" s="168" t="str">
        <f>IFERROR(VLOOKUP(B18,[2]ARTICLES!$A$2:$G$347,2,0),"")</f>
        <v/>
      </c>
      <c r="D18" s="169" t="str">
        <f>IFERROR(VLOOKUP(B18,[2]ARTICLES!$A$2:$G$347,3,0),"")</f>
        <v/>
      </c>
      <c r="E18" s="170"/>
      <c r="F18" s="170"/>
      <c r="G18" s="143" t="str">
        <f>IFERROR(VLOOKUP(B18,[2]ARTICLES!$A$2:$G$347,7,0),"")</f>
        <v/>
      </c>
      <c r="H18" s="143" t="str">
        <f t="shared" si="0"/>
        <v/>
      </c>
    </row>
    <row r="19" spans="1:8" ht="19.5" customHeight="1" thickBot="1">
      <c r="A19" s="166">
        <v>3</v>
      </c>
      <c r="B19" s="167"/>
      <c r="C19" s="168" t="str">
        <f>IFERROR(VLOOKUP(B19,[2]ARTICLES!$A$2:$G$347,2,0),"")</f>
        <v/>
      </c>
      <c r="D19" s="169" t="str">
        <f>IFERROR(VLOOKUP(B19,[2]ARTICLES!$A$2:$G$347,3,0),"")</f>
        <v/>
      </c>
      <c r="E19" s="170"/>
      <c r="F19" s="170"/>
      <c r="G19" s="143" t="str">
        <f>IFERROR(VLOOKUP(B19,[2]ARTICLES!$A$2:$G$347,7,0),"")</f>
        <v/>
      </c>
      <c r="H19" s="143" t="str">
        <f t="shared" si="0"/>
        <v/>
      </c>
    </row>
    <row r="20" spans="1:8" ht="19.5" customHeight="1" thickBot="1">
      <c r="A20" s="166">
        <v>4</v>
      </c>
      <c r="B20" s="167"/>
      <c r="C20" s="168" t="str">
        <f>IFERROR(VLOOKUP(B20,[2]ARTICLES!$A$2:$G$347,2,0),"")</f>
        <v/>
      </c>
      <c r="D20" s="169" t="str">
        <f>IFERROR(VLOOKUP(B20,[2]ARTICLES!$A$2:$G$347,3,0),"")</f>
        <v/>
      </c>
      <c r="E20" s="170"/>
      <c r="F20" s="170"/>
      <c r="G20" s="143" t="str">
        <f>IFERROR(VLOOKUP(B20,[2]ARTICLES!$A$2:$G$347,7,0),"")</f>
        <v/>
      </c>
      <c r="H20" s="143" t="str">
        <f t="shared" si="0"/>
        <v/>
      </c>
    </row>
    <row r="21" spans="1:8" ht="19.5" customHeight="1" thickBot="1">
      <c r="A21" s="166">
        <v>5</v>
      </c>
      <c r="B21" s="167"/>
      <c r="C21" s="168" t="str">
        <f>IFERROR(VLOOKUP(B21,[2]ARTICLES!$A$2:$G$347,2,0),"")</f>
        <v/>
      </c>
      <c r="D21" s="169" t="str">
        <f>IFERROR(VLOOKUP(B21,[2]ARTICLES!$A$2:$G$347,3,0),"")</f>
        <v/>
      </c>
      <c r="E21" s="170"/>
      <c r="F21" s="170"/>
      <c r="G21" s="143" t="str">
        <f>IFERROR(VLOOKUP(B21,[2]ARTICLES!$A$2:$G$347,7,0),"")</f>
        <v/>
      </c>
      <c r="H21" s="143" t="str">
        <f t="shared" si="0"/>
        <v/>
      </c>
    </row>
    <row r="22" spans="1:8" ht="19.5" customHeight="1" thickBot="1">
      <c r="A22" s="166">
        <v>6</v>
      </c>
      <c r="B22" s="167"/>
      <c r="C22" s="168" t="str">
        <f>IFERROR(VLOOKUP(B22,[2]ARTICLES!$A$2:$G$347,2,0),"")</f>
        <v/>
      </c>
      <c r="D22" s="169" t="str">
        <f>IFERROR(VLOOKUP(B22,[2]ARTICLES!$A$2:$G$347,3,0),"")</f>
        <v/>
      </c>
      <c r="E22" s="170"/>
      <c r="F22" s="170"/>
      <c r="G22" s="143" t="str">
        <f>IFERROR(VLOOKUP(B22,[2]ARTICLES!$A$2:$G$347,7,0),"")</f>
        <v/>
      </c>
      <c r="H22" s="143" t="str">
        <f t="shared" si="0"/>
        <v/>
      </c>
    </row>
    <row r="23" spans="1:8" ht="19.5" customHeight="1" thickBot="1">
      <c r="A23" s="166">
        <v>7</v>
      </c>
      <c r="B23" s="167"/>
      <c r="C23" s="168" t="str">
        <f>IFERROR(VLOOKUP(B23,[2]ARTICLES!$A$2:$G$347,2,0),"")</f>
        <v/>
      </c>
      <c r="D23" s="169" t="str">
        <f>IFERROR(VLOOKUP(B23,[2]ARTICLES!$A$2:$G$347,3,0),"")</f>
        <v/>
      </c>
      <c r="E23" s="170"/>
      <c r="F23" s="170"/>
      <c r="G23" s="143" t="str">
        <f>IFERROR(VLOOKUP(B23,[2]ARTICLES!$A$2:$G$347,7,0),"")</f>
        <v/>
      </c>
      <c r="H23" s="143" t="str">
        <f t="shared" si="0"/>
        <v/>
      </c>
    </row>
    <row r="24" spans="1:8" ht="19.5" customHeight="1" thickBot="1">
      <c r="A24" s="166">
        <v>8</v>
      </c>
      <c r="B24" s="167"/>
      <c r="C24" s="168" t="str">
        <f>IFERROR(VLOOKUP(B24,[2]ARTICLES!$A$2:$G$347,2,0),"")</f>
        <v/>
      </c>
      <c r="D24" s="169" t="str">
        <f>IFERROR(VLOOKUP(B24,[2]ARTICLES!$A$2:$G$347,3,0),"")</f>
        <v/>
      </c>
      <c r="E24" s="170"/>
      <c r="F24" s="170"/>
      <c r="G24" s="143" t="str">
        <f>IFERROR(VLOOKUP(B24,[2]ARTICLES!$A$2:$G$347,7,0),"")</f>
        <v/>
      </c>
      <c r="H24" s="143" t="str">
        <f t="shared" si="0"/>
        <v/>
      </c>
    </row>
    <row r="25" spans="1:8" ht="21.75" customHeight="1" thickBot="1">
      <c r="A25" s="261" t="s">
        <v>476</v>
      </c>
      <c r="B25" s="262"/>
      <c r="C25" s="262"/>
      <c r="D25" s="262"/>
      <c r="E25" s="262"/>
      <c r="F25" s="262"/>
      <c r="G25" s="263"/>
      <c r="H25" s="171">
        <f>SUM(H17:H24)</f>
        <v>0</v>
      </c>
    </row>
    <row r="26" spans="1:8" ht="18" customHeight="1" thickBot="1">
      <c r="A26" s="264" t="s">
        <v>508</v>
      </c>
      <c r="B26" s="259"/>
      <c r="C26" s="259"/>
      <c r="D26" s="259"/>
      <c r="E26" s="259"/>
      <c r="F26" s="259"/>
      <c r="G26" s="259"/>
      <c r="H26" s="260"/>
    </row>
    <row r="27" spans="1:8" ht="18" customHeight="1" thickBot="1">
      <c r="A27" s="265"/>
      <c r="B27" s="266"/>
      <c r="C27" s="266"/>
      <c r="D27" s="266"/>
      <c r="E27" s="266"/>
      <c r="F27" s="266"/>
      <c r="G27" s="266"/>
      <c r="H27" s="267"/>
    </row>
    <row r="28" spans="1:8" ht="18" customHeight="1" thickBot="1">
      <c r="A28" s="268"/>
      <c r="B28" s="257"/>
      <c r="C28" s="257"/>
      <c r="D28" s="257"/>
      <c r="E28" s="257"/>
      <c r="F28" s="257"/>
      <c r="G28" s="257"/>
      <c r="H28" s="269"/>
    </row>
    <row r="29" spans="1:8" ht="7.5" customHeight="1" thickBot="1"/>
    <row r="30" spans="1:8" ht="24" customHeight="1" thickBot="1">
      <c r="A30" s="270" t="s">
        <v>509</v>
      </c>
      <c r="B30" s="263"/>
      <c r="C30" s="270" t="s">
        <v>510</v>
      </c>
      <c r="D30" s="262"/>
      <c r="E30" s="263"/>
      <c r="F30" s="270" t="s">
        <v>511</v>
      </c>
      <c r="G30" s="262"/>
      <c r="H30" s="263"/>
    </row>
    <row r="31" spans="1:8" ht="24" customHeight="1" thickTop="1" thickBot="1">
      <c r="A31" s="250" t="s">
        <v>482</v>
      </c>
      <c r="B31" s="252"/>
      <c r="C31" s="250" t="s">
        <v>482</v>
      </c>
      <c r="D31" s="251"/>
      <c r="E31" s="252"/>
      <c r="F31" s="250" t="s">
        <v>482</v>
      </c>
      <c r="G31" s="251"/>
      <c r="H31" s="252"/>
    </row>
    <row r="32" spans="1:8" ht="24" customHeight="1" thickTop="1" thickBot="1">
      <c r="A32" s="253"/>
      <c r="B32" s="255"/>
      <c r="C32" s="253"/>
      <c r="D32" s="254"/>
      <c r="E32" s="255"/>
      <c r="F32" s="253"/>
      <c r="G32" s="254"/>
      <c r="H32" s="255"/>
    </row>
    <row r="33" spans="1:8" ht="13.5" customHeight="1" thickTop="1" thickBot="1">
      <c r="A33" s="256" t="s">
        <v>512</v>
      </c>
      <c r="B33" s="257"/>
      <c r="C33" s="257"/>
      <c r="D33" s="257"/>
      <c r="E33" s="257"/>
      <c r="F33" s="257"/>
      <c r="G33" s="257"/>
      <c r="H33" s="257"/>
    </row>
    <row r="34" spans="1:8" ht="13.5" customHeight="1">
      <c r="A34" s="258" t="s">
        <v>152</v>
      </c>
      <c r="B34" s="259"/>
      <c r="C34" s="259"/>
      <c r="D34" s="259"/>
      <c r="E34" s="259"/>
      <c r="F34" s="259"/>
      <c r="G34" s="259"/>
      <c r="H34" s="260"/>
    </row>
  </sheetData>
  <sheetProtection algorithmName="SHA-512" hashValue="a99BjfnCtQRz90WGn26wbIxfDuTKOYbvGOOpc2gbTWAP0WeEg5PjTmwpluNnVyrw8Cvs1FbaJ+gXg8UOeeea+w==" saltValue="oxjSucmBr8A/nwKLGVnJsw==" spinCount="100000" sheet="1" objects="1" scenarios="1" autoFilter="0"/>
  <mergeCells count="29">
    <mergeCell ref="A1:H1"/>
    <mergeCell ref="A2:H2"/>
    <mergeCell ref="A3:H3"/>
    <mergeCell ref="A5:H5"/>
    <mergeCell ref="B6:C6"/>
    <mergeCell ref="D6:H6"/>
    <mergeCell ref="A14:H14"/>
    <mergeCell ref="A7:H7"/>
    <mergeCell ref="B8:C8"/>
    <mergeCell ref="D8:H8"/>
    <mergeCell ref="B9:C9"/>
    <mergeCell ref="D9:H9"/>
    <mergeCell ref="A10:H10"/>
    <mergeCell ref="B11:C11"/>
    <mergeCell ref="D11:H11"/>
    <mergeCell ref="A12:H12"/>
    <mergeCell ref="B13:C13"/>
    <mergeCell ref="D13:H13"/>
    <mergeCell ref="A25:G25"/>
    <mergeCell ref="A26:H26"/>
    <mergeCell ref="A27:H28"/>
    <mergeCell ref="A30:B30"/>
    <mergeCell ref="C30:E30"/>
    <mergeCell ref="F30:H30"/>
    <mergeCell ref="A31:B32"/>
    <mergeCell ref="C31:E32"/>
    <mergeCell ref="F31:H32"/>
    <mergeCell ref="A33:H33"/>
    <mergeCell ref="A34:H34"/>
  </mergeCells>
  <printOptions horizontalCentered="1"/>
  <pageMargins left="0.75" right="0.75" top="1" bottom="0.75" header="0.511811023622047" footer="0.511811023622047"/>
  <pageSetup paperSize="9" orientation="portrait" horizontalDpi="300" verticalDpi="300"/>
  <headerFooter>
    <oddHeader>&amp;LERP Acad�mie  -  Direction de l'Education, El Bayadh&amp;R[Logo]</oddHeader>
    <oddFooter>&amp;LERP Academie vv13.4&amp;RPage 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E337D-AA3D-4023-B740-38EFC02ECBE2}">
  <sheetPr codeName="Sheet17">
    <tabColor rgb="FFA0522D"/>
    <pageSetUpPr fitToPage="1"/>
  </sheetPr>
  <dimension ref="A1:H33"/>
  <sheetViews>
    <sheetView topLeftCell="A23" zoomScaleNormal="100" workbookViewId="0">
      <selection sqref="A1:XFD1048576"/>
    </sheetView>
  </sheetViews>
  <sheetFormatPr defaultColWidth="7.625" defaultRowHeight="15"/>
  <cols>
    <col min="1" max="1" width="3.5" style="65" customWidth="1"/>
    <col min="2" max="2" width="10.5" style="65" customWidth="1"/>
    <col min="3" max="3" width="26.25" style="65" customWidth="1"/>
    <col min="4" max="4" width="8.75" style="65" customWidth="1"/>
    <col min="5" max="6" width="11.375" style="65" customWidth="1"/>
    <col min="7" max="7" width="19.25" style="65" customWidth="1"/>
    <col min="8" max="8" width="8.75" style="65" customWidth="1"/>
    <col min="9" max="16384" width="7.625" style="65"/>
  </cols>
  <sheetData>
    <row r="1" spans="1:8" ht="19.5" customHeight="1" thickTop="1" thickBot="1">
      <c r="A1" s="274" t="s">
        <v>458</v>
      </c>
      <c r="B1" s="275"/>
      <c r="C1" s="275"/>
      <c r="D1" s="275"/>
      <c r="E1" s="275"/>
      <c r="F1" s="275"/>
      <c r="G1" s="275"/>
      <c r="H1" s="276"/>
    </row>
    <row r="2" spans="1:8" ht="18" customHeight="1" thickTop="1" thickBot="1">
      <c r="A2" s="277" t="s">
        <v>256</v>
      </c>
      <c r="B2" s="262"/>
      <c r="C2" s="262"/>
      <c r="D2" s="262"/>
      <c r="E2" s="262"/>
      <c r="F2" s="262"/>
      <c r="G2" s="262"/>
      <c r="H2" s="263"/>
    </row>
    <row r="3" spans="1:8" ht="6" customHeight="1" thickBot="1"/>
    <row r="4" spans="1:8" ht="30" customHeight="1" thickTop="1" thickBot="1">
      <c r="A4" s="279" t="s">
        <v>513</v>
      </c>
      <c r="B4" s="275"/>
      <c r="C4" s="275"/>
      <c r="D4" s="275"/>
      <c r="E4" s="275"/>
      <c r="F4" s="275"/>
      <c r="G4" s="275"/>
      <c r="H4" s="276"/>
    </row>
    <row r="5" spans="1:8" ht="6" customHeight="1" thickTop="1" thickBot="1"/>
    <row r="6" spans="1:8" ht="21.75" customHeight="1" thickBot="1">
      <c r="B6" s="271" t="s">
        <v>514</v>
      </c>
      <c r="C6" s="260"/>
      <c r="D6" s="273"/>
      <c r="E6" s="262"/>
      <c r="F6" s="262"/>
      <c r="G6" s="262"/>
      <c r="H6" s="263"/>
    </row>
    <row r="7" spans="1:8" ht="13.5" customHeight="1" thickBot="1">
      <c r="A7" s="286" t="s">
        <v>515</v>
      </c>
      <c r="B7" s="257"/>
      <c r="C7" s="257"/>
      <c r="D7" s="257"/>
      <c r="E7" s="257"/>
      <c r="F7" s="257"/>
      <c r="G7" s="257"/>
      <c r="H7" s="257"/>
    </row>
    <row r="8" spans="1:8" ht="21.75" customHeight="1" thickBot="1">
      <c r="B8" s="271" t="s">
        <v>516</v>
      </c>
      <c r="C8" s="260"/>
      <c r="D8" s="272">
        <f ca="1">TODAY()</f>
        <v>46222</v>
      </c>
      <c r="E8" s="262"/>
      <c r="F8" s="262"/>
      <c r="G8" s="262"/>
      <c r="H8" s="263"/>
    </row>
    <row r="9" spans="1:8" ht="21.75" customHeight="1" thickBot="1">
      <c r="B9" s="271" t="s">
        <v>488</v>
      </c>
      <c r="C9" s="260"/>
      <c r="D9" s="273"/>
      <c r="E9" s="262"/>
      <c r="F9" s="262"/>
      <c r="G9" s="262"/>
      <c r="H9" s="263"/>
    </row>
    <row r="10" spans="1:8" ht="13.5" customHeight="1" thickBot="1">
      <c r="A10" s="256" t="s">
        <v>517</v>
      </c>
      <c r="B10" s="257"/>
      <c r="C10" s="257"/>
      <c r="D10" s="257"/>
      <c r="E10" s="257"/>
      <c r="F10" s="257"/>
      <c r="G10" s="257"/>
      <c r="H10" s="257"/>
    </row>
    <row r="11" spans="1:8" ht="21.75" customHeight="1" thickBot="1">
      <c r="B11" s="271" t="s">
        <v>518</v>
      </c>
      <c r="C11" s="260"/>
      <c r="D11" s="273"/>
      <c r="E11" s="262"/>
      <c r="F11" s="262"/>
      <c r="G11" s="262"/>
      <c r="H11" s="263"/>
    </row>
    <row r="12" spans="1:8" ht="13.5" customHeight="1" thickBot="1">
      <c r="A12" s="256" t="s">
        <v>519</v>
      </c>
      <c r="B12" s="257"/>
      <c r="C12" s="257"/>
      <c r="D12" s="257"/>
      <c r="E12" s="257"/>
      <c r="F12" s="257"/>
      <c r="G12" s="257"/>
      <c r="H12" s="257"/>
    </row>
    <row r="13" spans="1:8" ht="21.75" customHeight="1" thickBot="1">
      <c r="B13" s="271" t="s">
        <v>520</v>
      </c>
      <c r="C13" s="260"/>
      <c r="D13" s="273"/>
      <c r="E13" s="262"/>
      <c r="F13" s="262"/>
      <c r="G13" s="262"/>
      <c r="H13" s="263"/>
    </row>
    <row r="14" spans="1:8" ht="13.5" customHeight="1" thickBot="1">
      <c r="A14" s="256" t="s">
        <v>521</v>
      </c>
      <c r="B14" s="257"/>
      <c r="C14" s="257"/>
      <c r="D14" s="257"/>
      <c r="E14" s="257"/>
      <c r="F14" s="257"/>
      <c r="G14" s="257"/>
      <c r="H14" s="257"/>
    </row>
    <row r="15" spans="1:8" ht="6" customHeight="1" thickBot="1"/>
    <row r="16" spans="1:8" ht="31.5" customHeight="1" thickBot="1">
      <c r="A16" s="165" t="s">
        <v>468</v>
      </c>
      <c r="B16" s="165" t="s">
        <v>156</v>
      </c>
      <c r="C16" s="165" t="s">
        <v>470</v>
      </c>
      <c r="D16" s="165" t="s">
        <v>471</v>
      </c>
      <c r="E16" s="165" t="s">
        <v>522</v>
      </c>
      <c r="F16" s="165" t="s">
        <v>523</v>
      </c>
      <c r="G16" s="165" t="s">
        <v>524</v>
      </c>
      <c r="H16" s="165" t="s">
        <v>525</v>
      </c>
    </row>
    <row r="17" spans="1:8" ht="19.5" customHeight="1" thickTop="1" thickBot="1">
      <c r="A17" s="142">
        <v>1</v>
      </c>
      <c r="B17" s="167"/>
      <c r="C17" s="168" t="str">
        <f>IFERROR(VLOOKUP(B17,[2]ARTICLES!$A$2:$G$347,2,0),"")</f>
        <v/>
      </c>
      <c r="D17" s="169" t="str">
        <f>IFERROR(VLOOKUP(B17,[2]ARTICLES!$A$2:$G$347,3,0),"")</f>
        <v/>
      </c>
      <c r="E17" s="170"/>
      <c r="F17" s="172"/>
      <c r="G17" s="168"/>
      <c r="H17" s="132" t="str">
        <f>IFERROR(IF(B17="","",SUMIFS([2]MOUVEMENTS!#REF!,[2]MOUVEMENTS!#REF!,B17,[2]MOUVEMENTS!#REF!,"IN")-SUMIFS([2]MOUVEMENTS!#REF!,[2]MOUVEMENTS!#REF!,B17,[2]MOUVEMENTS!#REF!,"OUT")),"?")</f>
        <v/>
      </c>
    </row>
    <row r="18" spans="1:8" ht="19.5" customHeight="1" thickTop="1" thickBot="1">
      <c r="A18" s="142">
        <v>2</v>
      </c>
      <c r="B18" s="167"/>
      <c r="C18" s="168" t="str">
        <f>IFERROR(VLOOKUP(B18,[2]ARTICLES!$A$2:$G$347,2,0),"")</f>
        <v/>
      </c>
      <c r="D18" s="169" t="str">
        <f>IFERROR(VLOOKUP(B18,[2]ARTICLES!$A$2:$G$347,3,0),"")</f>
        <v/>
      </c>
      <c r="E18" s="170"/>
      <c r="F18" s="172"/>
      <c r="G18" s="168"/>
      <c r="H18" s="132" t="str">
        <f>IFERROR(IF(B18="","",SUMIFS([2]MOUVEMENTS!#REF!,[2]MOUVEMENTS!#REF!,B18,[2]MOUVEMENTS!#REF!,"IN")-SUMIFS([2]MOUVEMENTS!#REF!,[2]MOUVEMENTS!#REF!,B18,[2]MOUVEMENTS!#REF!,"OUT")),"?")</f>
        <v/>
      </c>
    </row>
    <row r="19" spans="1:8" ht="19.5" customHeight="1" thickTop="1" thickBot="1">
      <c r="A19" s="142">
        <v>3</v>
      </c>
      <c r="B19" s="167"/>
      <c r="C19" s="168" t="str">
        <f>IFERROR(VLOOKUP(B19,[2]ARTICLES!$A$2:$G$347,2,0),"")</f>
        <v/>
      </c>
      <c r="D19" s="169" t="str">
        <f>IFERROR(VLOOKUP(B19,[2]ARTICLES!$A$2:$G$347,3,0),"")</f>
        <v/>
      </c>
      <c r="E19" s="170"/>
      <c r="F19" s="172"/>
      <c r="G19" s="168"/>
      <c r="H19" s="132" t="str">
        <f>IFERROR(IF(B19="","",SUMIFS([2]MOUVEMENTS!#REF!,[2]MOUVEMENTS!#REF!,B19,[2]MOUVEMENTS!#REF!,"IN")-SUMIFS([2]MOUVEMENTS!#REF!,[2]MOUVEMENTS!#REF!,B19,[2]MOUVEMENTS!#REF!,"OUT")),"?")</f>
        <v/>
      </c>
    </row>
    <row r="20" spans="1:8" ht="19.5" customHeight="1" thickTop="1" thickBot="1">
      <c r="A20" s="142">
        <v>4</v>
      </c>
      <c r="B20" s="167"/>
      <c r="C20" s="168" t="str">
        <f>IFERROR(VLOOKUP(B20,[2]ARTICLES!$A$2:$G$347,2,0),"")</f>
        <v/>
      </c>
      <c r="D20" s="169" t="str">
        <f>IFERROR(VLOOKUP(B20,[2]ARTICLES!$A$2:$G$347,3,0),"")</f>
        <v/>
      </c>
      <c r="E20" s="170"/>
      <c r="F20" s="172"/>
      <c r="G20" s="168"/>
      <c r="H20" s="132" t="str">
        <f>IFERROR(IF(B20="","",SUMIFS([2]MOUVEMENTS!#REF!,[2]MOUVEMENTS!#REF!,B20,[2]MOUVEMENTS!#REF!,"IN")-SUMIFS([2]MOUVEMENTS!#REF!,[2]MOUVEMENTS!#REF!,B20,[2]MOUVEMENTS!#REF!,"OUT")),"?")</f>
        <v/>
      </c>
    </row>
    <row r="21" spans="1:8" ht="19.5" customHeight="1" thickTop="1" thickBot="1">
      <c r="A21" s="142">
        <v>5</v>
      </c>
      <c r="B21" s="167"/>
      <c r="C21" s="168" t="str">
        <f>IFERROR(VLOOKUP(B21,[2]ARTICLES!$A$2:$G$347,2,0),"")</f>
        <v/>
      </c>
      <c r="D21" s="169" t="str">
        <f>IFERROR(VLOOKUP(B21,[2]ARTICLES!$A$2:$G$347,3,0),"")</f>
        <v/>
      </c>
      <c r="E21" s="170"/>
      <c r="F21" s="172"/>
      <c r="G21" s="168"/>
      <c r="H21" s="132" t="str">
        <f>IFERROR(IF(B21="","",SUMIFS([2]MOUVEMENTS!#REF!,[2]MOUVEMENTS!#REF!,B21,[2]MOUVEMENTS!#REF!,"IN")-SUMIFS([2]MOUVEMENTS!#REF!,[2]MOUVEMENTS!#REF!,B21,[2]MOUVEMENTS!#REF!,"OUT")),"?")</f>
        <v/>
      </c>
    </row>
    <row r="22" spans="1:8" ht="19.5" customHeight="1" thickTop="1" thickBot="1">
      <c r="A22" s="142">
        <v>6</v>
      </c>
      <c r="B22" s="167"/>
      <c r="C22" s="168" t="str">
        <f>IFERROR(VLOOKUP(B22,[2]ARTICLES!$A$2:$G$347,2,0),"")</f>
        <v/>
      </c>
      <c r="D22" s="169" t="str">
        <f>IFERROR(VLOOKUP(B22,[2]ARTICLES!$A$2:$G$347,3,0),"")</f>
        <v/>
      </c>
      <c r="E22" s="170"/>
      <c r="F22" s="172"/>
      <c r="G22" s="168"/>
      <c r="H22" s="132" t="str">
        <f>IFERROR(IF(B22="","",SUMIFS([2]MOUVEMENTS!#REF!,[2]MOUVEMENTS!#REF!,B22,[2]MOUVEMENTS!#REF!,"IN")-SUMIFS([2]MOUVEMENTS!#REF!,[2]MOUVEMENTS!#REF!,B22,[2]MOUVEMENTS!#REF!,"OUT")),"?")</f>
        <v/>
      </c>
    </row>
    <row r="23" spans="1:8" ht="19.5" customHeight="1" thickTop="1" thickBot="1">
      <c r="A23" s="142">
        <v>7</v>
      </c>
      <c r="B23" s="167"/>
      <c r="C23" s="168" t="str">
        <f>IFERROR(VLOOKUP(B23,[2]ARTICLES!$A$2:$G$347,2,0),"")</f>
        <v/>
      </c>
      <c r="D23" s="169" t="str">
        <f>IFERROR(VLOOKUP(B23,[2]ARTICLES!$A$2:$G$347,3,0),"")</f>
        <v/>
      </c>
      <c r="E23" s="170"/>
      <c r="F23" s="172"/>
      <c r="G23" s="168"/>
      <c r="H23" s="132" t="str">
        <f>IFERROR(IF(B23="","",SUMIFS([2]MOUVEMENTS!#REF!,[2]MOUVEMENTS!#REF!,B23,[2]MOUVEMENTS!#REF!,"IN")-SUMIFS([2]MOUVEMENTS!#REF!,[2]MOUVEMENTS!#REF!,B23,[2]MOUVEMENTS!#REF!,"OUT")),"?")</f>
        <v/>
      </c>
    </row>
    <row r="24" spans="1:8" ht="19.5" customHeight="1" thickTop="1" thickBot="1">
      <c r="A24" s="142">
        <v>8</v>
      </c>
      <c r="B24" s="167"/>
      <c r="C24" s="168" t="str">
        <f>IFERROR(VLOOKUP(B24,[2]ARTICLES!$A$2:$G$347,2,0),"")</f>
        <v/>
      </c>
      <c r="D24" s="169" t="str">
        <f>IFERROR(VLOOKUP(B24,[2]ARTICLES!$A$2:$G$347,3,0),"")</f>
        <v/>
      </c>
      <c r="E24" s="170"/>
      <c r="F24" s="172"/>
      <c r="G24" s="168"/>
      <c r="H24" s="132" t="str">
        <f>IFERROR(IF(B24="","",SUMIFS([2]MOUVEMENTS!#REF!,[2]MOUVEMENTS!#REF!,B24,[2]MOUVEMENTS!#REF!,"IN")-SUMIFS([2]MOUVEMENTS!#REF!,[2]MOUVEMENTS!#REF!,B24,[2]MOUVEMENTS!#REF!,"OUT")),"?")</f>
        <v/>
      </c>
    </row>
    <row r="25" spans="1:8" ht="6" customHeight="1" thickBot="1">
      <c r="A25" s="282"/>
      <c r="B25" s="259"/>
      <c r="C25" s="259"/>
      <c r="D25" s="259"/>
      <c r="E25" s="259"/>
      <c r="F25" s="259"/>
      <c r="G25" s="259"/>
      <c r="H25" s="260"/>
    </row>
    <row r="26" spans="1:8" ht="21.75" customHeight="1" thickBot="1">
      <c r="A26" s="283" t="s">
        <v>526</v>
      </c>
      <c r="B26" s="266"/>
      <c r="C26" s="266"/>
      <c r="D26" s="266"/>
      <c r="E26" s="266"/>
      <c r="F26" s="266"/>
      <c r="G26" s="266"/>
      <c r="H26" s="267"/>
    </row>
    <row r="27" spans="1:8" ht="21.75" customHeight="1">
      <c r="A27" s="284"/>
      <c r="B27" s="244"/>
      <c r="C27" s="244"/>
      <c r="D27" s="244"/>
      <c r="E27" s="244"/>
      <c r="F27" s="244"/>
      <c r="G27" s="244"/>
      <c r="H27" s="285"/>
    </row>
    <row r="28" spans="1:8" ht="21.75" customHeight="1" thickBot="1">
      <c r="A28" s="268"/>
      <c r="B28" s="257"/>
      <c r="C28" s="257"/>
      <c r="D28" s="257"/>
      <c r="E28" s="257"/>
      <c r="F28" s="257"/>
      <c r="G28" s="257"/>
      <c r="H28" s="269"/>
    </row>
    <row r="29" spans="1:8" ht="7.5" customHeight="1" thickBot="1"/>
    <row r="30" spans="1:8" ht="24" customHeight="1" thickBot="1">
      <c r="A30" s="270" t="s">
        <v>527</v>
      </c>
      <c r="B30" s="262"/>
      <c r="C30" s="263"/>
      <c r="D30" s="270" t="s">
        <v>528</v>
      </c>
      <c r="E30" s="262"/>
      <c r="F30" s="263"/>
      <c r="G30" s="270" t="s">
        <v>529</v>
      </c>
      <c r="H30" s="263"/>
    </row>
    <row r="31" spans="1:8" ht="24" customHeight="1" thickTop="1" thickBot="1">
      <c r="A31" s="250" t="s">
        <v>482</v>
      </c>
      <c r="B31" s="251"/>
      <c r="C31" s="252"/>
      <c r="D31" s="250" t="s">
        <v>482</v>
      </c>
      <c r="E31" s="251"/>
      <c r="F31" s="252"/>
      <c r="G31" s="250" t="s">
        <v>482</v>
      </c>
      <c r="H31" s="252"/>
    </row>
    <row r="32" spans="1:8" ht="24" customHeight="1" thickTop="1" thickBot="1">
      <c r="A32" s="253"/>
      <c r="B32" s="254"/>
      <c r="C32" s="255"/>
      <c r="D32" s="253"/>
      <c r="E32" s="254"/>
      <c r="F32" s="255"/>
      <c r="G32" s="253"/>
      <c r="H32" s="255"/>
    </row>
    <row r="33" spans="1:8" ht="13.5" customHeight="1" thickTop="1">
      <c r="A33" s="258" t="s">
        <v>152</v>
      </c>
      <c r="B33" s="259"/>
      <c r="C33" s="259"/>
      <c r="D33" s="259"/>
      <c r="E33" s="259"/>
      <c r="F33" s="259"/>
      <c r="G33" s="259"/>
      <c r="H33" s="260"/>
    </row>
  </sheetData>
  <sheetProtection algorithmName="SHA-512" hashValue="AxwvP5fGCt91MzQPx8VQvB7IDJDHWa8GkaUZP4V+OAAG8crx2G0b7Msq55OEK2c9e9e5K2oJpHd2hUIJyKdDTQ==" saltValue="25ao1naE2YTbpXwiJ16LeA==" spinCount="100000" sheet="1" objects="1" scenarios="1" autoFilter="0"/>
  <mergeCells count="26">
    <mergeCell ref="A7:H7"/>
    <mergeCell ref="A1:H1"/>
    <mergeCell ref="A2:H2"/>
    <mergeCell ref="A4:H4"/>
    <mergeCell ref="B6:C6"/>
    <mergeCell ref="D6:H6"/>
    <mergeCell ref="A26:H28"/>
    <mergeCell ref="B8:C8"/>
    <mergeCell ref="D8:H8"/>
    <mergeCell ref="B9:C9"/>
    <mergeCell ref="D9:H9"/>
    <mergeCell ref="A10:H10"/>
    <mergeCell ref="B11:C11"/>
    <mergeCell ref="D11:H11"/>
    <mergeCell ref="A12:H12"/>
    <mergeCell ref="B13:C13"/>
    <mergeCell ref="D13:H13"/>
    <mergeCell ref="A14:H14"/>
    <mergeCell ref="A25:H25"/>
    <mergeCell ref="A33:H33"/>
    <mergeCell ref="A30:C30"/>
    <mergeCell ref="D30:F30"/>
    <mergeCell ref="G30:H30"/>
    <mergeCell ref="A31:C32"/>
    <mergeCell ref="D31:F32"/>
    <mergeCell ref="G31:H32"/>
  </mergeCells>
  <printOptions horizontalCentered="1"/>
  <pageMargins left="0.75" right="0.75" top="1" bottom="0.75" header="0.511811023622047" footer="0.511811023622047"/>
  <pageSetup paperSize="9" orientation="portrait" horizontalDpi="300" verticalDpi="300"/>
  <headerFooter>
    <oddHeader>&amp;LERP Acad�mie  -  Direction de l'Education, El Bayadh&amp;R[Logo]</oddHeader>
    <oddFooter>&amp;LERP Academie vv13.4&amp;RPage 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F8761-30BB-4955-97E5-442CC8D92B90}">
  <sheetPr codeName="Sheet18">
    <tabColor rgb="FF546E7A"/>
  </sheetPr>
  <dimension ref="A1:B67"/>
  <sheetViews>
    <sheetView zoomScaleNormal="100" workbookViewId="0">
      <selection activeCell="B14" sqref="B14"/>
    </sheetView>
  </sheetViews>
  <sheetFormatPr defaultColWidth="7.625" defaultRowHeight="15"/>
  <cols>
    <col min="1" max="1" width="5.25" style="65" customWidth="1"/>
    <col min="2" max="2" width="63" style="65" customWidth="1"/>
    <col min="3" max="16384" width="7.625" style="65"/>
  </cols>
  <sheetData>
    <row r="1" spans="1:2" ht="31.5" customHeight="1">
      <c r="A1" s="287" t="s">
        <v>530</v>
      </c>
      <c r="B1" s="244"/>
    </row>
    <row r="2" spans="1:2" ht="24" customHeight="1">
      <c r="A2" s="173" t="s">
        <v>531</v>
      </c>
      <c r="B2" s="174" t="s">
        <v>532</v>
      </c>
    </row>
    <row r="3" spans="1:2" ht="18" customHeight="1">
      <c r="A3" s="175" t="s">
        <v>533</v>
      </c>
      <c r="B3" s="176" t="s">
        <v>534</v>
      </c>
    </row>
    <row r="4" spans="1:2" ht="18" customHeight="1">
      <c r="A4" s="175" t="s">
        <v>533</v>
      </c>
      <c r="B4" s="177" t="s">
        <v>535</v>
      </c>
    </row>
    <row r="5" spans="1:2" ht="18" customHeight="1">
      <c r="A5" s="175" t="s">
        <v>533</v>
      </c>
      <c r="B5" s="176" t="s">
        <v>536</v>
      </c>
    </row>
    <row r="6" spans="1:2" ht="18" customHeight="1">
      <c r="A6" s="175" t="s">
        <v>533</v>
      </c>
      <c r="B6" s="177" t="s">
        <v>537</v>
      </c>
    </row>
    <row r="7" spans="1:2" ht="18" customHeight="1">
      <c r="A7" s="175" t="s">
        <v>533</v>
      </c>
      <c r="B7" s="176" t="s">
        <v>538</v>
      </c>
    </row>
    <row r="8" spans="1:2" ht="18" customHeight="1">
      <c r="A8" s="175" t="s">
        <v>533</v>
      </c>
      <c r="B8" s="177" t="s">
        <v>539</v>
      </c>
    </row>
    <row r="9" spans="1:2" ht="18" customHeight="1">
      <c r="A9" s="175" t="s">
        <v>533</v>
      </c>
      <c r="B9" s="176" t="s">
        <v>540</v>
      </c>
    </row>
    <row r="10" spans="1:2" ht="18" customHeight="1">
      <c r="A10" s="175" t="s">
        <v>533</v>
      </c>
      <c r="B10" s="177" t="s">
        <v>541</v>
      </c>
    </row>
    <row r="11" spans="1:2" ht="18" customHeight="1">
      <c r="A11" s="175"/>
      <c r="B11" s="176"/>
    </row>
    <row r="12" spans="1:2" ht="24" customHeight="1">
      <c r="A12" s="173" t="s">
        <v>531</v>
      </c>
      <c r="B12" s="174" t="s">
        <v>542</v>
      </c>
    </row>
    <row r="13" spans="1:2" ht="18" customHeight="1">
      <c r="A13" s="175" t="s">
        <v>533</v>
      </c>
      <c r="B13" s="176" t="s">
        <v>543</v>
      </c>
    </row>
    <row r="14" spans="1:2" ht="18" customHeight="1">
      <c r="A14" s="175" t="s">
        <v>533</v>
      </c>
      <c r="B14" s="177" t="s">
        <v>544</v>
      </c>
    </row>
    <row r="15" spans="1:2" ht="18" customHeight="1">
      <c r="A15" s="175" t="s">
        <v>533</v>
      </c>
      <c r="B15" s="176" t="s">
        <v>545</v>
      </c>
    </row>
    <row r="16" spans="1:2" ht="18" customHeight="1">
      <c r="A16" s="175"/>
      <c r="B16" s="177"/>
    </row>
    <row r="17" spans="1:2" ht="24" customHeight="1">
      <c r="A17" s="173" t="s">
        <v>531</v>
      </c>
      <c r="B17" s="174" t="s">
        <v>546</v>
      </c>
    </row>
    <row r="18" spans="1:2" ht="18" customHeight="1">
      <c r="A18" s="175" t="s">
        <v>547</v>
      </c>
      <c r="B18" s="177" t="s">
        <v>548</v>
      </c>
    </row>
    <row r="19" spans="1:2" ht="18" customHeight="1">
      <c r="A19" s="175" t="s">
        <v>547</v>
      </c>
      <c r="B19" s="176" t="s">
        <v>549</v>
      </c>
    </row>
    <row r="20" spans="1:2" ht="18" customHeight="1">
      <c r="A20" s="175" t="s">
        <v>547</v>
      </c>
      <c r="B20" s="177" t="s">
        <v>550</v>
      </c>
    </row>
    <row r="21" spans="1:2" ht="18" customHeight="1">
      <c r="A21" s="175"/>
      <c r="B21" s="176"/>
    </row>
    <row r="22" spans="1:2" ht="24" customHeight="1">
      <c r="A22" s="173" t="s">
        <v>531</v>
      </c>
      <c r="B22" s="174" t="s">
        <v>551</v>
      </c>
    </row>
    <row r="23" spans="1:2" ht="18" customHeight="1">
      <c r="A23" s="175" t="s">
        <v>552</v>
      </c>
      <c r="B23" s="176" t="s">
        <v>553</v>
      </c>
    </row>
    <row r="24" spans="1:2" ht="18" customHeight="1">
      <c r="A24" s="175" t="s">
        <v>554</v>
      </c>
      <c r="B24" s="177" t="s">
        <v>555</v>
      </c>
    </row>
    <row r="25" spans="1:2" ht="18" customHeight="1">
      <c r="A25" s="175" t="s">
        <v>556</v>
      </c>
      <c r="B25" s="176" t="s">
        <v>557</v>
      </c>
    </row>
    <row r="26" spans="1:2" ht="18" customHeight="1">
      <c r="A26" s="175" t="s">
        <v>558</v>
      </c>
      <c r="B26" s="177" t="s">
        <v>559</v>
      </c>
    </row>
    <row r="27" spans="1:2" ht="18" customHeight="1">
      <c r="A27" s="175"/>
      <c r="B27" s="176"/>
    </row>
    <row r="28" spans="1:2" ht="24" customHeight="1">
      <c r="A28" s="173" t="s">
        <v>531</v>
      </c>
      <c r="B28" s="174" t="s">
        <v>560</v>
      </c>
    </row>
    <row r="29" spans="1:2" ht="18" customHeight="1">
      <c r="A29" s="175" t="s">
        <v>561</v>
      </c>
      <c r="B29" s="176" t="s">
        <v>562</v>
      </c>
    </row>
    <row r="30" spans="1:2" ht="18" customHeight="1">
      <c r="A30" s="175" t="s">
        <v>563</v>
      </c>
      <c r="B30" s="177" t="s">
        <v>564</v>
      </c>
    </row>
    <row r="31" spans="1:2" ht="18" customHeight="1">
      <c r="A31" s="175"/>
      <c r="B31" s="176"/>
    </row>
    <row r="32" spans="1:2" ht="24" customHeight="1">
      <c r="A32" s="173" t="s">
        <v>531</v>
      </c>
      <c r="B32" s="174" t="s">
        <v>565</v>
      </c>
    </row>
    <row r="33" spans="1:2" ht="18" customHeight="1">
      <c r="A33" s="175" t="s">
        <v>566</v>
      </c>
      <c r="B33" s="176" t="s">
        <v>567</v>
      </c>
    </row>
    <row r="34" spans="1:2" ht="18" customHeight="1">
      <c r="A34" s="175" t="s">
        <v>568</v>
      </c>
      <c r="B34" s="177" t="s">
        <v>569</v>
      </c>
    </row>
    <row r="35" spans="1:2" ht="18" customHeight="1">
      <c r="A35" s="175" t="s">
        <v>570</v>
      </c>
      <c r="B35" s="176" t="s">
        <v>571</v>
      </c>
    </row>
    <row r="36" spans="1:2" ht="18" customHeight="1">
      <c r="A36" s="175" t="s">
        <v>572</v>
      </c>
      <c r="B36" s="177" t="s">
        <v>573</v>
      </c>
    </row>
    <row r="37" spans="1:2" ht="18" customHeight="1">
      <c r="A37" s="175" t="s">
        <v>574</v>
      </c>
      <c r="B37" s="176" t="s">
        <v>575</v>
      </c>
    </row>
    <row r="38" spans="1:2" ht="18" customHeight="1">
      <c r="A38" s="175" t="s">
        <v>576</v>
      </c>
      <c r="B38" s="177" t="s">
        <v>577</v>
      </c>
    </row>
    <row r="39" spans="1:2" ht="18" customHeight="1">
      <c r="A39" s="175"/>
      <c r="B39" s="176"/>
    </row>
    <row r="40" spans="1:2" ht="24" customHeight="1">
      <c r="A40" s="173" t="s">
        <v>531</v>
      </c>
      <c r="B40" s="174" t="s">
        <v>578</v>
      </c>
    </row>
    <row r="41" spans="1:2" ht="18" customHeight="1">
      <c r="A41" s="175" t="s">
        <v>579</v>
      </c>
      <c r="B41" s="176" t="s">
        <v>580</v>
      </c>
    </row>
    <row r="42" spans="1:2" ht="18" customHeight="1">
      <c r="A42" s="175" t="s">
        <v>579</v>
      </c>
      <c r="B42" s="177" t="s">
        <v>581</v>
      </c>
    </row>
    <row r="43" spans="1:2" ht="18" customHeight="1">
      <c r="A43" s="175" t="s">
        <v>579</v>
      </c>
      <c r="B43" s="176" t="s">
        <v>582</v>
      </c>
    </row>
    <row r="44" spans="1:2" ht="18" customHeight="1">
      <c r="A44" s="175" t="s">
        <v>579</v>
      </c>
      <c r="B44" s="177" t="s">
        <v>583</v>
      </c>
    </row>
    <row r="46" spans="1:2" ht="25.5" customHeight="1">
      <c r="A46" s="173" t="s">
        <v>531</v>
      </c>
      <c r="B46" s="174" t="s">
        <v>584</v>
      </c>
    </row>
    <row r="47" spans="1:2" ht="19.5" customHeight="1">
      <c r="A47" s="178" t="s">
        <v>143</v>
      </c>
      <c r="B47" s="179" t="s">
        <v>585</v>
      </c>
    </row>
    <row r="48" spans="1:2" ht="19.5" customHeight="1">
      <c r="A48" s="178" t="s">
        <v>143</v>
      </c>
      <c r="B48" s="180" t="s">
        <v>586</v>
      </c>
    </row>
    <row r="49" spans="1:2" ht="19.5" customHeight="1">
      <c r="A49" s="178" t="s">
        <v>143</v>
      </c>
      <c r="B49" s="179" t="s">
        <v>587</v>
      </c>
    </row>
    <row r="50" spans="1:2" ht="19.5" customHeight="1">
      <c r="A50" s="178" t="s">
        <v>143</v>
      </c>
      <c r="B50" s="180" t="s">
        <v>588</v>
      </c>
    </row>
    <row r="51" spans="1:2" ht="19.5" customHeight="1">
      <c r="A51" s="175"/>
      <c r="B51" s="176"/>
    </row>
    <row r="52" spans="1:2" ht="25.5" customHeight="1">
      <c r="A52" s="173" t="s">
        <v>531</v>
      </c>
      <c r="B52" s="174" t="s">
        <v>589</v>
      </c>
    </row>
    <row r="53" spans="1:2" ht="19.5" customHeight="1">
      <c r="A53" s="175" t="s">
        <v>552</v>
      </c>
      <c r="B53" s="176" t="s">
        <v>590</v>
      </c>
    </row>
    <row r="54" spans="1:2" ht="19.5" customHeight="1">
      <c r="A54" s="175" t="s">
        <v>554</v>
      </c>
      <c r="B54" s="177" t="s">
        <v>591</v>
      </c>
    </row>
    <row r="55" spans="1:2" ht="19.5" customHeight="1">
      <c r="A55" s="175" t="s">
        <v>556</v>
      </c>
      <c r="B55" s="176" t="s">
        <v>592</v>
      </c>
    </row>
    <row r="56" spans="1:2" ht="19.5" customHeight="1">
      <c r="A56" s="175" t="s">
        <v>558</v>
      </c>
      <c r="B56" s="177" t="s">
        <v>593</v>
      </c>
    </row>
    <row r="57" spans="1:2" ht="19.5" customHeight="1">
      <c r="A57" s="175" t="s">
        <v>594</v>
      </c>
      <c r="B57" s="176" t="s">
        <v>595</v>
      </c>
    </row>
    <row r="58" spans="1:2" ht="19.5" customHeight="1">
      <c r="A58" s="175" t="s">
        <v>596</v>
      </c>
      <c r="B58" s="177" t="s">
        <v>597</v>
      </c>
    </row>
    <row r="59" spans="1:2" ht="19.5" customHeight="1">
      <c r="A59" s="175" t="s">
        <v>598</v>
      </c>
      <c r="B59" s="176" t="s">
        <v>599</v>
      </c>
    </row>
    <row r="62" spans="1:2" ht="15" customHeight="1">
      <c r="A62" s="181" t="s">
        <v>600</v>
      </c>
    </row>
    <row r="63" spans="1:2" ht="15" customHeight="1">
      <c r="A63" s="182" t="s">
        <v>601</v>
      </c>
      <c r="B63" s="183" t="s">
        <v>602</v>
      </c>
    </row>
    <row r="64" spans="1:2" ht="15" customHeight="1">
      <c r="A64" s="182" t="s">
        <v>603</v>
      </c>
      <c r="B64" s="183" t="s">
        <v>604</v>
      </c>
    </row>
    <row r="65" spans="1:1" ht="15" customHeight="1">
      <c r="A65" s="184" t="s">
        <v>605</v>
      </c>
    </row>
    <row r="67" spans="1:1" ht="15" customHeight="1">
      <c r="A67" s="185" t="s">
        <v>606</v>
      </c>
    </row>
  </sheetData>
  <sheetProtection algorithmName="SHA-512" hashValue="/2zbah8nGHZ6Q4BCLCHU4vyxAqprff6GBI6/NqoYuoPPVYlMQGRXPt8n+Sz+8JhH+CVIO6xAdwJ4aQqP2/2W9w==" saltValue="1j+M9QoIKcW2FHBHL+1QKw==" spinCount="100000" sheet="1" objects="1" scenarios="1" autoFilter="0"/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09EA-5474-437F-8A21-F943B497EF1E}">
  <sheetPr codeName="Sheet19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7.625" defaultRowHeight="15"/>
  <cols>
    <col min="1" max="1" width="28" style="65" customWidth="1"/>
    <col min="2" max="2" width="91.875" style="65" customWidth="1"/>
    <col min="3" max="16384" width="7.625" style="65"/>
  </cols>
  <sheetData>
    <row r="1" spans="1:2" ht="27.75" customHeight="1" thickBot="1">
      <c r="A1" s="243" t="s">
        <v>607</v>
      </c>
      <c r="B1" s="244"/>
    </row>
    <row r="2" spans="1:2" ht="27.75" customHeight="1" thickBot="1">
      <c r="A2" s="289" t="s">
        <v>608</v>
      </c>
      <c r="B2" s="290"/>
    </row>
    <row r="3" spans="1:2" ht="27.75" customHeight="1">
      <c r="A3" s="186" t="s">
        <v>609</v>
      </c>
      <c r="B3" s="187" t="s">
        <v>610</v>
      </c>
    </row>
    <row r="4" spans="1:2" ht="279.75" customHeight="1">
      <c r="A4" s="186" t="s">
        <v>611</v>
      </c>
      <c r="B4" s="187" t="s">
        <v>612</v>
      </c>
    </row>
    <row r="5" spans="1:2" ht="69.75" customHeight="1">
      <c r="A5" s="186" t="s">
        <v>613</v>
      </c>
      <c r="B5" s="187" t="s">
        <v>614</v>
      </c>
    </row>
    <row r="6" spans="1:2" ht="294" customHeight="1">
      <c r="A6" s="186" t="s">
        <v>615</v>
      </c>
      <c r="B6" s="187" t="s">
        <v>616</v>
      </c>
    </row>
    <row r="7" spans="1:2" ht="307.5" customHeight="1">
      <c r="A7" s="186" t="s">
        <v>617</v>
      </c>
      <c r="B7" s="187" t="s">
        <v>618</v>
      </c>
    </row>
    <row r="8" spans="1:2" ht="153.75" customHeight="1">
      <c r="A8" s="186" t="s">
        <v>619</v>
      </c>
      <c r="B8" s="187" t="s">
        <v>620</v>
      </c>
    </row>
    <row r="9" spans="1:2" ht="409.6" customHeight="1" thickBot="1">
      <c r="A9" s="186" t="s">
        <v>621</v>
      </c>
      <c r="B9" s="187" t="s">
        <v>622</v>
      </c>
    </row>
    <row r="10" spans="1:2" ht="27.75" customHeight="1" thickBot="1">
      <c r="A10" s="289" t="s">
        <v>623</v>
      </c>
      <c r="B10" s="290"/>
    </row>
    <row r="11" spans="1:2" ht="139.5" customHeight="1" thickBot="1">
      <c r="A11" s="186" t="s">
        <v>624</v>
      </c>
      <c r="B11" s="187" t="s">
        <v>625</v>
      </c>
    </row>
    <row r="12" spans="1:2" ht="27.75" customHeight="1" thickBot="1">
      <c r="A12" s="289" t="s">
        <v>626</v>
      </c>
      <c r="B12" s="290"/>
    </row>
    <row r="13" spans="1:2" ht="69.75" customHeight="1" thickBot="1">
      <c r="A13" s="186" t="s">
        <v>627</v>
      </c>
      <c r="B13" s="187" t="s">
        <v>628</v>
      </c>
    </row>
    <row r="14" spans="1:2" ht="27.75" customHeight="1" thickBot="1">
      <c r="A14" s="289" t="s">
        <v>629</v>
      </c>
      <c r="B14" s="290"/>
    </row>
    <row r="15" spans="1:2" ht="405.75" customHeight="1">
      <c r="A15" s="186" t="s">
        <v>630</v>
      </c>
      <c r="B15" s="187" t="s">
        <v>631</v>
      </c>
    </row>
    <row r="16" spans="1:2" ht="409.6" customHeight="1">
      <c r="A16" s="186" t="s">
        <v>632</v>
      </c>
      <c r="B16" s="187" t="s">
        <v>633</v>
      </c>
    </row>
    <row r="17" spans="1:2" ht="363.75" customHeight="1">
      <c r="A17" s="186" t="s">
        <v>634</v>
      </c>
      <c r="B17" s="187" t="s">
        <v>635</v>
      </c>
    </row>
    <row r="18" spans="1:2" ht="409.6" customHeight="1">
      <c r="A18" s="186" t="s">
        <v>636</v>
      </c>
      <c r="B18" s="187" t="s">
        <v>637</v>
      </c>
    </row>
    <row r="19" spans="1:2" ht="409.6" customHeight="1" thickBot="1">
      <c r="A19" s="186" t="s">
        <v>638</v>
      </c>
      <c r="B19" s="187" t="s">
        <v>639</v>
      </c>
    </row>
    <row r="20" spans="1:2" ht="27.75" customHeight="1" thickBot="1">
      <c r="A20" s="289" t="s">
        <v>640</v>
      </c>
      <c r="B20" s="290"/>
    </row>
    <row r="21" spans="1:2" ht="27.75" customHeight="1">
      <c r="A21" s="186" t="s">
        <v>641</v>
      </c>
      <c r="B21" s="187" t="s">
        <v>642</v>
      </c>
    </row>
    <row r="22" spans="1:2" ht="55.5" customHeight="1">
      <c r="A22" s="186" t="s">
        <v>643</v>
      </c>
      <c r="B22" s="187" t="s">
        <v>644</v>
      </c>
    </row>
    <row r="23" spans="1:2" ht="84" customHeight="1">
      <c r="A23" s="186" t="s">
        <v>645</v>
      </c>
      <c r="B23" s="187" t="s">
        <v>646</v>
      </c>
    </row>
    <row r="24" spans="1:2" ht="69.75" customHeight="1">
      <c r="A24" s="186" t="s">
        <v>647</v>
      </c>
      <c r="B24" s="187" t="s">
        <v>648</v>
      </c>
    </row>
    <row r="25" spans="1:2" ht="84" customHeight="1">
      <c r="A25" s="186" t="s">
        <v>649</v>
      </c>
      <c r="B25" s="187" t="s">
        <v>650</v>
      </c>
    </row>
    <row r="26" spans="1:2" ht="321.75" customHeight="1">
      <c r="A26" s="186" t="s">
        <v>651</v>
      </c>
      <c r="B26" s="187" t="s">
        <v>652</v>
      </c>
    </row>
    <row r="28" spans="1:2" ht="27.75" customHeight="1" thickBot="1">
      <c r="A28" s="288" t="s">
        <v>653</v>
      </c>
      <c r="B28" s="263"/>
    </row>
    <row r="29" spans="1:2" ht="409.6" customHeight="1">
      <c r="A29" s="188" t="s">
        <v>654</v>
      </c>
      <c r="B29" s="189" t="s">
        <v>655</v>
      </c>
    </row>
  </sheetData>
  <sheetProtection algorithmName="SHA-512" hashValue="pBISznhjM3bt52TW96koh4yKsShNAZmjtA3WoqQfloqMuhY+K4jziSDUdLkuyE1fyjy9VSf4WpCyAbZDcupDBg==" saltValue="B22dhDZN0dpO1d8u+Oan0w==" spinCount="100000" sheet="1" objects="1" scenarios="1" autoFilter="0"/>
  <mergeCells count="7">
    <mergeCell ref="A28:B28"/>
    <mergeCell ref="A1:B1"/>
    <mergeCell ref="A2:B2"/>
    <mergeCell ref="A10:B10"/>
    <mergeCell ref="A12:B12"/>
    <mergeCell ref="A14:B14"/>
    <mergeCell ref="A20:B2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691DE-9489-4850-A9AB-792D90174A6D}">
  <sheetPr codeName="Sheet20">
    <tabColor rgb="FF263238"/>
  </sheetPr>
  <dimension ref="A1:E84"/>
  <sheetViews>
    <sheetView zoomScaleNormal="100" workbookViewId="0">
      <selection sqref="A1:E13"/>
    </sheetView>
  </sheetViews>
  <sheetFormatPr defaultColWidth="7.625" defaultRowHeight="15"/>
  <cols>
    <col min="1" max="2" width="17.5" style="65" customWidth="1"/>
    <col min="3" max="3" width="19.25" style="65" customWidth="1"/>
    <col min="4" max="4" width="50.75" style="65" customWidth="1"/>
    <col min="5" max="5" width="17.5" style="65" customWidth="1"/>
    <col min="6" max="16384" width="7.625" style="65"/>
  </cols>
  <sheetData>
    <row r="1" spans="1:5" ht="27.75" customHeight="1">
      <c r="A1" s="291" t="s">
        <v>656</v>
      </c>
      <c r="B1" s="244"/>
      <c r="C1" s="244"/>
      <c r="D1" s="244"/>
      <c r="E1" s="244"/>
    </row>
    <row r="2" spans="1:5" ht="15" customHeight="1" thickBot="1">
      <c r="A2" s="292" t="s">
        <v>657</v>
      </c>
      <c r="B2" s="244"/>
      <c r="C2" s="244"/>
      <c r="D2" s="244"/>
      <c r="E2" s="244"/>
    </row>
    <row r="3" spans="1:5" ht="24" customHeight="1" thickBot="1">
      <c r="A3" s="190" t="s">
        <v>658</v>
      </c>
      <c r="B3" s="190" t="s">
        <v>659</v>
      </c>
      <c r="C3" s="190" t="s">
        <v>660</v>
      </c>
      <c r="D3" s="190" t="s">
        <v>661</v>
      </c>
      <c r="E3" s="190"/>
    </row>
    <row r="4" spans="1:5" ht="16.5" customHeight="1">
      <c r="A4" s="191" t="s">
        <v>662</v>
      </c>
      <c r="B4" s="192" t="s">
        <v>663</v>
      </c>
      <c r="C4" s="192" t="s">
        <v>664</v>
      </c>
      <c r="D4" s="193" t="s">
        <v>665</v>
      </c>
      <c r="E4" s="192" t="s">
        <v>666</v>
      </c>
    </row>
    <row r="5" spans="1:5" ht="16.5" customHeight="1">
      <c r="A5" s="194" t="s">
        <v>667</v>
      </c>
      <c r="B5" s="195" t="s">
        <v>663</v>
      </c>
      <c r="C5" s="195" t="s">
        <v>664</v>
      </c>
      <c r="D5" s="196" t="s">
        <v>668</v>
      </c>
      <c r="E5" s="195" t="s">
        <v>666</v>
      </c>
    </row>
    <row r="6" spans="1:5" ht="16.5" customHeight="1">
      <c r="A6" s="191" t="s">
        <v>669</v>
      </c>
      <c r="B6" s="192" t="s">
        <v>663</v>
      </c>
      <c r="C6" s="192" t="s">
        <v>670</v>
      </c>
      <c r="D6" s="193" t="s">
        <v>671</v>
      </c>
      <c r="E6" s="192" t="s">
        <v>666</v>
      </c>
    </row>
    <row r="7" spans="1:5" ht="16.5" customHeight="1">
      <c r="A7" s="194" t="s">
        <v>672</v>
      </c>
      <c r="B7" s="195" t="s">
        <v>663</v>
      </c>
      <c r="C7" s="195" t="s">
        <v>670</v>
      </c>
      <c r="D7" s="196" t="s">
        <v>673</v>
      </c>
      <c r="E7" s="195" t="s">
        <v>666</v>
      </c>
    </row>
    <row r="8" spans="1:5" ht="16.5" customHeight="1">
      <c r="A8" s="191" t="s">
        <v>674</v>
      </c>
      <c r="B8" s="192" t="s">
        <v>663</v>
      </c>
      <c r="C8" s="192" t="s">
        <v>670</v>
      </c>
      <c r="D8" s="193" t="s">
        <v>675</v>
      </c>
      <c r="E8" s="192" t="s">
        <v>666</v>
      </c>
    </row>
    <row r="9" spans="1:5" ht="16.5" customHeight="1">
      <c r="A9" s="194" t="s">
        <v>676</v>
      </c>
      <c r="B9" s="195" t="s">
        <v>663</v>
      </c>
      <c r="C9" s="195" t="s">
        <v>677</v>
      </c>
      <c r="D9" s="196" t="s">
        <v>678</v>
      </c>
      <c r="E9" s="195" t="s">
        <v>666</v>
      </c>
    </row>
    <row r="10" spans="1:5" ht="16.5" customHeight="1">
      <c r="A10" s="191" t="s">
        <v>679</v>
      </c>
      <c r="B10" s="192"/>
      <c r="C10" s="192"/>
      <c r="D10" s="193"/>
      <c r="E10" s="192"/>
    </row>
    <row r="12" spans="1:5" ht="24" customHeight="1">
      <c r="A12" s="293" t="s">
        <v>680</v>
      </c>
      <c r="B12" s="244"/>
      <c r="C12" s="244"/>
      <c r="D12" s="244"/>
      <c r="E12" s="244"/>
    </row>
    <row r="13" spans="1:5">
      <c r="A13" s="197">
        <v>46137</v>
      </c>
      <c r="B13" s="198">
        <v>0.40958333333333341</v>
      </c>
      <c r="C13" s="65" t="s">
        <v>681</v>
      </c>
      <c r="D13" s="65" t="s">
        <v>682</v>
      </c>
      <c r="E13" s="65" t="s">
        <v>683</v>
      </c>
    </row>
    <row r="14" spans="1:5">
      <c r="A14" s="197">
        <v>46137</v>
      </c>
      <c r="B14" s="198">
        <v>0.53903935185185181</v>
      </c>
      <c r="C14" s="65" t="s">
        <v>681</v>
      </c>
      <c r="D14" s="65" t="s">
        <v>682</v>
      </c>
      <c r="E14" s="65" t="s">
        <v>683</v>
      </c>
    </row>
    <row r="15" spans="1:5">
      <c r="A15" s="197">
        <v>46137</v>
      </c>
      <c r="B15" s="198">
        <v>0.89533564814814814</v>
      </c>
      <c r="C15" s="65" t="s">
        <v>681</v>
      </c>
      <c r="D15" s="65" t="s">
        <v>684</v>
      </c>
      <c r="E15" s="65" t="s">
        <v>683</v>
      </c>
    </row>
    <row r="16" spans="1:5">
      <c r="A16" s="197">
        <v>46138</v>
      </c>
      <c r="B16" s="198">
        <v>0.42469907407407409</v>
      </c>
      <c r="C16" s="65" t="s">
        <v>681</v>
      </c>
      <c r="D16" s="65" t="s">
        <v>684</v>
      </c>
      <c r="E16" s="65" t="s">
        <v>685</v>
      </c>
    </row>
    <row r="17" spans="1:5">
      <c r="A17" s="197">
        <v>46138</v>
      </c>
      <c r="B17" s="198">
        <v>0.42818287037037039</v>
      </c>
      <c r="C17" s="65" t="s">
        <v>681</v>
      </c>
      <c r="D17" s="65" t="s">
        <v>682</v>
      </c>
      <c r="E17" s="65" t="s">
        <v>686</v>
      </c>
    </row>
    <row r="18" spans="1:5">
      <c r="A18" s="197">
        <v>46138</v>
      </c>
      <c r="B18" s="198">
        <v>0.43094907407407412</v>
      </c>
      <c r="C18" s="65" t="s">
        <v>681</v>
      </c>
      <c r="D18" s="65" t="s">
        <v>682</v>
      </c>
      <c r="E18" s="65" t="s">
        <v>686</v>
      </c>
    </row>
    <row r="19" spans="1:5">
      <c r="A19" s="197">
        <v>46138</v>
      </c>
      <c r="B19" s="198">
        <v>0.43730324074074067</v>
      </c>
      <c r="C19" s="65" t="s">
        <v>681</v>
      </c>
      <c r="D19" s="65" t="s">
        <v>682</v>
      </c>
      <c r="E19" s="65" t="s">
        <v>686</v>
      </c>
    </row>
    <row r="20" spans="1:5">
      <c r="A20" s="197">
        <v>46138</v>
      </c>
      <c r="B20" s="198">
        <v>0.46271990740740743</v>
      </c>
      <c r="C20" s="65" t="s">
        <v>681</v>
      </c>
      <c r="D20" s="65" t="s">
        <v>682</v>
      </c>
      <c r="E20" s="65" t="s">
        <v>686</v>
      </c>
    </row>
    <row r="21" spans="1:5">
      <c r="A21" s="197">
        <v>46138</v>
      </c>
      <c r="B21" s="198">
        <v>0.47091435185185188</v>
      </c>
      <c r="C21" s="65" t="s">
        <v>681</v>
      </c>
      <c r="D21" s="65" t="s">
        <v>684</v>
      </c>
      <c r="E21" s="65" t="s">
        <v>686</v>
      </c>
    </row>
    <row r="22" spans="1:5">
      <c r="A22" s="197">
        <v>46138</v>
      </c>
      <c r="B22" s="198">
        <v>0.4773148148148148</v>
      </c>
      <c r="C22" s="65" t="s">
        <v>681</v>
      </c>
      <c r="D22" s="65" t="s">
        <v>684</v>
      </c>
      <c r="E22" s="65" t="s">
        <v>687</v>
      </c>
    </row>
    <row r="23" spans="1:5">
      <c r="A23" s="199">
        <v>46169.045057870368</v>
      </c>
      <c r="B23" s="65" t="s">
        <v>688</v>
      </c>
      <c r="C23" s="65" t="s">
        <v>681</v>
      </c>
      <c r="D23" s="65" t="s">
        <v>689</v>
      </c>
      <c r="E23" s="65" t="s">
        <v>690</v>
      </c>
    </row>
    <row r="24" spans="1:5">
      <c r="A24" s="199">
        <v>46169.04519675926</v>
      </c>
      <c r="B24" s="65" t="s">
        <v>691</v>
      </c>
      <c r="C24" s="65" t="s">
        <v>681</v>
      </c>
      <c r="D24" s="65" t="s">
        <v>692</v>
      </c>
      <c r="E24" s="65" t="s">
        <v>690</v>
      </c>
    </row>
    <row r="25" spans="1:5">
      <c r="A25" s="199">
        <v>46171.008703703701</v>
      </c>
      <c r="B25" s="65" t="s">
        <v>688</v>
      </c>
      <c r="C25" s="65" t="s">
        <v>681</v>
      </c>
      <c r="D25" s="65" t="s">
        <v>689</v>
      </c>
      <c r="E25" s="65" t="s">
        <v>690</v>
      </c>
    </row>
    <row r="26" spans="1:5">
      <c r="A26" s="199">
        <v>46171.00880787037</v>
      </c>
      <c r="B26" s="65" t="s">
        <v>691</v>
      </c>
      <c r="C26" s="65" t="s">
        <v>681</v>
      </c>
      <c r="D26" s="65" t="s">
        <v>693</v>
      </c>
      <c r="E26" s="65" t="s">
        <v>690</v>
      </c>
    </row>
    <row r="27" spans="1:5">
      <c r="A27" s="199">
        <v>46172.984039351853</v>
      </c>
      <c r="B27" s="65" t="s">
        <v>688</v>
      </c>
      <c r="C27" s="65" t="s">
        <v>681</v>
      </c>
      <c r="D27" s="65" t="s">
        <v>689</v>
      </c>
      <c r="E27" s="65" t="s">
        <v>690</v>
      </c>
    </row>
    <row r="28" spans="1:5">
      <c r="A28" s="199">
        <v>46172.984050925923</v>
      </c>
      <c r="B28" s="65" t="s">
        <v>691</v>
      </c>
      <c r="C28" s="65" t="s">
        <v>681</v>
      </c>
      <c r="D28" s="65" t="s">
        <v>694</v>
      </c>
      <c r="E28" s="65" t="s">
        <v>690</v>
      </c>
    </row>
    <row r="29" spans="1:5">
      <c r="A29" s="199">
        <v>46172.984606481477</v>
      </c>
      <c r="B29" s="65" t="s">
        <v>688</v>
      </c>
      <c r="C29" s="65" t="s">
        <v>681</v>
      </c>
      <c r="D29" s="65" t="s">
        <v>689</v>
      </c>
      <c r="E29" s="65" t="s">
        <v>690</v>
      </c>
    </row>
    <row r="30" spans="1:5">
      <c r="A30" s="199">
        <v>46172.984618055547</v>
      </c>
      <c r="B30" s="65" t="s">
        <v>691</v>
      </c>
      <c r="C30" s="65" t="s">
        <v>681</v>
      </c>
      <c r="D30" s="65" t="s">
        <v>695</v>
      </c>
      <c r="E30" s="65" t="s">
        <v>690</v>
      </c>
    </row>
    <row r="31" spans="1:5">
      <c r="A31" s="199">
        <v>46173.011041666658</v>
      </c>
      <c r="B31" s="65" t="s">
        <v>688</v>
      </c>
      <c r="C31" s="65" t="s">
        <v>681</v>
      </c>
      <c r="D31" s="65" t="s">
        <v>689</v>
      </c>
      <c r="E31" s="65" t="s">
        <v>690</v>
      </c>
    </row>
    <row r="32" spans="1:5">
      <c r="A32" s="199">
        <v>46173.011064814818</v>
      </c>
      <c r="B32" s="65" t="s">
        <v>691</v>
      </c>
      <c r="C32" s="65" t="s">
        <v>681</v>
      </c>
      <c r="D32" s="65" t="s">
        <v>696</v>
      </c>
      <c r="E32" s="65" t="s">
        <v>690</v>
      </c>
    </row>
    <row r="33" spans="1:5">
      <c r="A33" s="199">
        <v>46173.013599537036</v>
      </c>
      <c r="B33" s="65" t="s">
        <v>688</v>
      </c>
      <c r="C33" s="65" t="s">
        <v>681</v>
      </c>
      <c r="D33" s="65" t="s">
        <v>689</v>
      </c>
      <c r="E33" s="65" t="s">
        <v>690</v>
      </c>
    </row>
    <row r="34" spans="1:5">
      <c r="A34" s="199">
        <v>46173.013622685183</v>
      </c>
      <c r="B34" s="65" t="s">
        <v>691</v>
      </c>
      <c r="C34" s="65" t="s">
        <v>681</v>
      </c>
      <c r="D34" s="65" t="s">
        <v>697</v>
      </c>
      <c r="E34" s="65" t="s">
        <v>690</v>
      </c>
    </row>
    <row r="35" spans="1:5">
      <c r="A35" s="199">
        <v>46173.038194444453</v>
      </c>
      <c r="B35" s="65" t="s">
        <v>688</v>
      </c>
      <c r="C35" s="65" t="s">
        <v>681</v>
      </c>
      <c r="D35" s="65" t="s">
        <v>689</v>
      </c>
      <c r="E35" s="65" t="s">
        <v>690</v>
      </c>
    </row>
    <row r="36" spans="1:5">
      <c r="A36" s="199">
        <v>46173.038217592592</v>
      </c>
      <c r="B36" s="65" t="s">
        <v>691</v>
      </c>
      <c r="C36" s="65" t="s">
        <v>681</v>
      </c>
      <c r="D36" s="65" t="s">
        <v>698</v>
      </c>
      <c r="E36" s="65" t="s">
        <v>690</v>
      </c>
    </row>
    <row r="37" spans="1:5">
      <c r="A37" s="199">
        <v>46173.040173611109</v>
      </c>
      <c r="B37" s="65" t="s">
        <v>688</v>
      </c>
      <c r="C37" s="65" t="s">
        <v>681</v>
      </c>
      <c r="D37" s="65" t="s">
        <v>689</v>
      </c>
      <c r="E37" s="65" t="s">
        <v>690</v>
      </c>
    </row>
    <row r="38" spans="1:5">
      <c r="A38" s="199">
        <v>46173.040219907409</v>
      </c>
      <c r="B38" s="65" t="s">
        <v>691</v>
      </c>
      <c r="C38" s="65" t="s">
        <v>681</v>
      </c>
      <c r="D38" s="65" t="s">
        <v>699</v>
      </c>
      <c r="E38" s="65" t="s">
        <v>690</v>
      </c>
    </row>
    <row r="39" spans="1:5">
      <c r="A39" s="199">
        <v>46173.040925925918</v>
      </c>
      <c r="B39" s="65" t="s">
        <v>688</v>
      </c>
      <c r="C39" s="65" t="s">
        <v>681</v>
      </c>
      <c r="D39" s="65" t="s">
        <v>689</v>
      </c>
      <c r="E39" s="65" t="s">
        <v>690</v>
      </c>
    </row>
    <row r="40" spans="1:5">
      <c r="A40" s="199">
        <v>46173.040972222218</v>
      </c>
      <c r="B40" s="65" t="s">
        <v>691</v>
      </c>
      <c r="C40" s="65" t="s">
        <v>681</v>
      </c>
      <c r="D40" s="65" t="s">
        <v>700</v>
      </c>
      <c r="E40" s="65" t="s">
        <v>690</v>
      </c>
    </row>
    <row r="41" spans="1:5">
      <c r="A41" s="199">
        <v>46173.041724537034</v>
      </c>
      <c r="B41" s="65" t="s">
        <v>688</v>
      </c>
      <c r="C41" s="65" t="s">
        <v>681</v>
      </c>
      <c r="D41" s="65" t="s">
        <v>689</v>
      </c>
      <c r="E41" s="65" t="s">
        <v>690</v>
      </c>
    </row>
    <row r="42" spans="1:5">
      <c r="A42" s="199">
        <v>46173.04178240741</v>
      </c>
      <c r="B42" s="65" t="s">
        <v>691</v>
      </c>
      <c r="C42" s="65" t="s">
        <v>681</v>
      </c>
      <c r="D42" s="65" t="s">
        <v>701</v>
      </c>
      <c r="E42" s="65" t="s">
        <v>690</v>
      </c>
    </row>
    <row r="43" spans="1:5">
      <c r="A43" s="199">
        <v>46173.042812500003</v>
      </c>
      <c r="B43" s="65" t="s">
        <v>688</v>
      </c>
      <c r="C43" s="65" t="s">
        <v>681</v>
      </c>
      <c r="D43" s="65" t="s">
        <v>689</v>
      </c>
      <c r="E43" s="65" t="s">
        <v>690</v>
      </c>
    </row>
    <row r="44" spans="1:5">
      <c r="A44" s="199">
        <v>46173.042858796303</v>
      </c>
      <c r="B44" s="65" t="s">
        <v>691</v>
      </c>
      <c r="C44" s="65" t="s">
        <v>681</v>
      </c>
      <c r="D44" s="65" t="s">
        <v>702</v>
      </c>
      <c r="E44" s="65" t="s">
        <v>690</v>
      </c>
    </row>
    <row r="45" spans="1:5">
      <c r="A45" s="199">
        <v>46173.044861111113</v>
      </c>
      <c r="B45" s="65" t="s">
        <v>688</v>
      </c>
      <c r="C45" s="65" t="s">
        <v>681</v>
      </c>
      <c r="D45" s="65" t="s">
        <v>689</v>
      </c>
      <c r="E45" s="65" t="s">
        <v>690</v>
      </c>
    </row>
    <row r="46" spans="1:5">
      <c r="A46" s="199">
        <v>46173.044907407413</v>
      </c>
      <c r="B46" s="65" t="s">
        <v>691</v>
      </c>
      <c r="C46" s="65" t="s">
        <v>681</v>
      </c>
      <c r="D46" s="65" t="s">
        <v>703</v>
      </c>
      <c r="E46" s="65" t="s">
        <v>690</v>
      </c>
    </row>
    <row r="47" spans="1:5">
      <c r="A47" s="199">
        <v>46173.045347222222</v>
      </c>
      <c r="B47" s="65" t="s">
        <v>688</v>
      </c>
      <c r="C47" s="65" t="s">
        <v>681</v>
      </c>
      <c r="D47" s="65" t="s">
        <v>689</v>
      </c>
      <c r="E47" s="65" t="s">
        <v>690</v>
      </c>
    </row>
    <row r="48" spans="1:5">
      <c r="A48" s="199">
        <v>46173.045393518521</v>
      </c>
      <c r="B48" s="65" t="s">
        <v>691</v>
      </c>
      <c r="C48" s="65" t="s">
        <v>681</v>
      </c>
      <c r="D48" s="65" t="s">
        <v>704</v>
      </c>
      <c r="E48" s="65" t="s">
        <v>690</v>
      </c>
    </row>
    <row r="49" spans="1:5">
      <c r="A49" s="199">
        <v>46173.045856481483</v>
      </c>
      <c r="B49" s="65" t="s">
        <v>688</v>
      </c>
      <c r="C49" s="65" t="s">
        <v>681</v>
      </c>
      <c r="D49" s="65" t="s">
        <v>689</v>
      </c>
      <c r="E49" s="65" t="s">
        <v>690</v>
      </c>
    </row>
    <row r="50" spans="1:5">
      <c r="A50" s="199">
        <v>46173.045902777783</v>
      </c>
      <c r="B50" s="65" t="s">
        <v>691</v>
      </c>
      <c r="C50" s="65" t="s">
        <v>681</v>
      </c>
      <c r="D50" s="65" t="s">
        <v>705</v>
      </c>
      <c r="E50" s="65" t="s">
        <v>690</v>
      </c>
    </row>
    <row r="51" spans="1:5">
      <c r="A51" s="199">
        <v>46173.04760416667</v>
      </c>
      <c r="B51" s="65" t="s">
        <v>688</v>
      </c>
      <c r="C51" s="65" t="s">
        <v>681</v>
      </c>
      <c r="D51" s="65" t="s">
        <v>689</v>
      </c>
      <c r="E51" s="65" t="s">
        <v>690</v>
      </c>
    </row>
    <row r="52" spans="1:5">
      <c r="A52" s="199">
        <v>46173.047673611109</v>
      </c>
      <c r="B52" s="65" t="s">
        <v>691</v>
      </c>
      <c r="C52" s="65" t="s">
        <v>681</v>
      </c>
      <c r="D52" s="65" t="s">
        <v>706</v>
      </c>
      <c r="E52" s="65" t="s">
        <v>690</v>
      </c>
    </row>
    <row r="53" spans="1:5">
      <c r="A53" s="199">
        <v>46173.056793981479</v>
      </c>
      <c r="B53" s="65" t="s">
        <v>688</v>
      </c>
      <c r="C53" s="65" t="s">
        <v>681</v>
      </c>
      <c r="D53" s="65" t="s">
        <v>689</v>
      </c>
      <c r="E53" s="65" t="s">
        <v>690</v>
      </c>
    </row>
    <row r="54" spans="1:5">
      <c r="A54" s="199">
        <v>46173.056840277779</v>
      </c>
      <c r="B54" s="65" t="s">
        <v>691</v>
      </c>
      <c r="C54" s="65" t="s">
        <v>681</v>
      </c>
      <c r="D54" s="65" t="s">
        <v>707</v>
      </c>
      <c r="E54" s="65" t="s">
        <v>690</v>
      </c>
    </row>
    <row r="55" spans="1:5">
      <c r="A55" s="199">
        <v>46173.057546296302</v>
      </c>
      <c r="B55" s="65" t="s">
        <v>688</v>
      </c>
      <c r="C55" s="65" t="s">
        <v>681</v>
      </c>
      <c r="D55" s="65" t="s">
        <v>689</v>
      </c>
      <c r="E55" s="65" t="s">
        <v>690</v>
      </c>
    </row>
    <row r="56" spans="1:5">
      <c r="A56" s="199">
        <v>46173.057604166657</v>
      </c>
      <c r="B56" s="65" t="s">
        <v>691</v>
      </c>
      <c r="C56" s="65" t="s">
        <v>681</v>
      </c>
      <c r="D56" s="65" t="s">
        <v>708</v>
      </c>
      <c r="E56" s="65" t="s">
        <v>690</v>
      </c>
    </row>
    <row r="57" spans="1:5">
      <c r="A57" s="199">
        <v>46173.06391203704</v>
      </c>
      <c r="B57" s="65" t="s">
        <v>688</v>
      </c>
      <c r="C57" s="65" t="s">
        <v>681</v>
      </c>
      <c r="D57" s="65" t="s">
        <v>689</v>
      </c>
      <c r="E57" s="65" t="s">
        <v>690</v>
      </c>
    </row>
    <row r="58" spans="1:5">
      <c r="A58" s="199">
        <v>46173.063958333332</v>
      </c>
      <c r="B58" s="65" t="s">
        <v>691</v>
      </c>
      <c r="C58" s="65" t="s">
        <v>681</v>
      </c>
      <c r="D58" s="65" t="s">
        <v>709</v>
      </c>
      <c r="E58" s="65" t="s">
        <v>690</v>
      </c>
    </row>
    <row r="59" spans="1:5">
      <c r="A59" s="200">
        <v>46180</v>
      </c>
      <c r="B59" s="201">
        <v>0.6461689814814815</v>
      </c>
      <c r="C59" s="65" t="s">
        <v>681</v>
      </c>
      <c r="D59" s="65" t="s">
        <v>710</v>
      </c>
      <c r="E59" s="65" t="s">
        <v>690</v>
      </c>
    </row>
    <row r="60" spans="1:5">
      <c r="A60" s="200">
        <v>46180</v>
      </c>
      <c r="B60" s="201">
        <v>0.64686342592592594</v>
      </c>
      <c r="C60" s="65" t="s">
        <v>681</v>
      </c>
      <c r="D60" s="65" t="s">
        <v>711</v>
      </c>
      <c r="E60" s="65" t="s">
        <v>690</v>
      </c>
    </row>
    <row r="61" spans="1:5">
      <c r="A61" s="200">
        <v>46180</v>
      </c>
      <c r="B61" s="201">
        <v>0.65155092592592589</v>
      </c>
      <c r="C61" s="65" t="s">
        <v>681</v>
      </c>
      <c r="D61" s="65" t="s">
        <v>710</v>
      </c>
      <c r="E61" s="65" t="s">
        <v>690</v>
      </c>
    </row>
    <row r="62" spans="1:5">
      <c r="A62" s="200">
        <v>46180</v>
      </c>
      <c r="B62" s="201">
        <v>0.65224537037037034</v>
      </c>
      <c r="C62" s="65" t="s">
        <v>681</v>
      </c>
      <c r="D62" s="65" t="s">
        <v>712</v>
      </c>
      <c r="E62" s="65" t="s">
        <v>690</v>
      </c>
    </row>
    <row r="63" spans="1:5">
      <c r="A63" s="200">
        <v>46180</v>
      </c>
      <c r="B63" s="201">
        <v>0.66258101851851847</v>
      </c>
      <c r="C63" s="65" t="s">
        <v>681</v>
      </c>
      <c r="D63" s="65" t="s">
        <v>710</v>
      </c>
      <c r="E63" s="65" t="s">
        <v>690</v>
      </c>
    </row>
    <row r="64" spans="1:5">
      <c r="A64" s="200">
        <v>46180</v>
      </c>
      <c r="B64" s="201">
        <v>0.66327546296296291</v>
      </c>
      <c r="C64" s="65" t="s">
        <v>681</v>
      </c>
      <c r="D64" s="65" t="s">
        <v>713</v>
      </c>
      <c r="E64" s="65" t="s">
        <v>690</v>
      </c>
    </row>
    <row r="65" spans="1:5">
      <c r="A65" s="200">
        <v>46180</v>
      </c>
      <c r="B65" s="201">
        <v>0.69194444444444447</v>
      </c>
      <c r="C65" s="65" t="s">
        <v>681</v>
      </c>
      <c r="D65" s="65" t="s">
        <v>710</v>
      </c>
      <c r="E65" s="65" t="s">
        <v>690</v>
      </c>
    </row>
    <row r="66" spans="1:5">
      <c r="A66" s="200">
        <v>46180</v>
      </c>
      <c r="B66" s="201">
        <v>0.69268518518518518</v>
      </c>
      <c r="C66" s="65" t="s">
        <v>681</v>
      </c>
      <c r="D66" s="65" t="s">
        <v>714</v>
      </c>
      <c r="E66" s="65" t="s">
        <v>690</v>
      </c>
    </row>
    <row r="67" spans="1:5">
      <c r="A67" s="200">
        <v>46180</v>
      </c>
      <c r="B67" s="201">
        <v>0.70893518518518517</v>
      </c>
      <c r="C67" s="65" t="s">
        <v>681</v>
      </c>
      <c r="D67" s="65" t="s">
        <v>710</v>
      </c>
      <c r="E67" s="65" t="s">
        <v>690</v>
      </c>
    </row>
    <row r="68" spans="1:5">
      <c r="A68" s="200">
        <v>46180</v>
      </c>
      <c r="B68" s="201">
        <v>0.70962962962962961</v>
      </c>
      <c r="C68" s="65" t="s">
        <v>681</v>
      </c>
      <c r="D68" s="65" t="s">
        <v>715</v>
      </c>
      <c r="E68" s="65" t="s">
        <v>690</v>
      </c>
    </row>
    <row r="69" spans="1:5">
      <c r="A69" s="200">
        <v>46180</v>
      </c>
      <c r="B69" s="201">
        <v>0.71652777777777776</v>
      </c>
      <c r="C69" s="65" t="s">
        <v>681</v>
      </c>
      <c r="D69" s="65" t="s">
        <v>710</v>
      </c>
      <c r="E69" s="65" t="s">
        <v>690</v>
      </c>
    </row>
    <row r="70" spans="1:5">
      <c r="A70" s="200">
        <v>46180</v>
      </c>
      <c r="B70" s="201">
        <v>0.7173842592592593</v>
      </c>
      <c r="C70" s="65" t="s">
        <v>681</v>
      </c>
      <c r="D70" s="65" t="s">
        <v>716</v>
      </c>
      <c r="E70" s="65" t="s">
        <v>690</v>
      </c>
    </row>
    <row r="71" spans="1:5">
      <c r="A71" s="200">
        <v>46180</v>
      </c>
      <c r="B71" s="201">
        <v>0.73030092592592588</v>
      </c>
      <c r="C71" s="65" t="s">
        <v>681</v>
      </c>
      <c r="D71" s="65" t="s">
        <v>710</v>
      </c>
      <c r="E71" s="65" t="s">
        <v>690</v>
      </c>
    </row>
    <row r="72" spans="1:5">
      <c r="A72" s="200">
        <v>46180</v>
      </c>
      <c r="B72" s="201">
        <v>0.73099537037037032</v>
      </c>
      <c r="C72" s="65" t="s">
        <v>681</v>
      </c>
      <c r="D72" s="65" t="s">
        <v>717</v>
      </c>
      <c r="E72" s="65" t="s">
        <v>690</v>
      </c>
    </row>
    <row r="73" spans="1:5">
      <c r="A73" s="200">
        <v>46180</v>
      </c>
      <c r="B73" s="201">
        <v>0.74258101851851854</v>
      </c>
      <c r="C73" s="65" t="s">
        <v>681</v>
      </c>
      <c r="D73" s="65" t="s">
        <v>710</v>
      </c>
      <c r="E73" s="65" t="s">
        <v>690</v>
      </c>
    </row>
    <row r="74" spans="1:5">
      <c r="A74" s="200">
        <v>46180</v>
      </c>
      <c r="B74" s="201">
        <v>0.74327546296296299</v>
      </c>
      <c r="C74" s="65" t="s">
        <v>681</v>
      </c>
      <c r="D74" s="65" t="s">
        <v>718</v>
      </c>
      <c r="E74" s="65" t="s">
        <v>690</v>
      </c>
    </row>
    <row r="75" spans="1:5">
      <c r="A75" s="200">
        <v>46180</v>
      </c>
      <c r="B75" s="201">
        <v>0.76274305555555555</v>
      </c>
      <c r="C75" s="65" t="s">
        <v>681</v>
      </c>
      <c r="D75" s="65" t="s">
        <v>710</v>
      </c>
      <c r="E75" s="65" t="s">
        <v>690</v>
      </c>
    </row>
    <row r="76" spans="1:5">
      <c r="A76" s="200">
        <v>46180</v>
      </c>
      <c r="B76" s="201">
        <v>0.76347222222222222</v>
      </c>
      <c r="C76" s="65" t="s">
        <v>681</v>
      </c>
      <c r="D76" s="65" t="s">
        <v>719</v>
      </c>
      <c r="E76" s="65" t="s">
        <v>690</v>
      </c>
    </row>
    <row r="77" spans="1:5">
      <c r="A77" s="200">
        <v>46220</v>
      </c>
      <c r="B77" s="201">
        <v>0.86760416666666673</v>
      </c>
      <c r="C77" s="65" t="s">
        <v>18</v>
      </c>
      <c r="D77" s="65" t="s">
        <v>720</v>
      </c>
      <c r="E77" s="65" t="s">
        <v>690</v>
      </c>
    </row>
    <row r="78" spans="1:5">
      <c r="A78" s="200">
        <v>46220</v>
      </c>
      <c r="B78" s="201">
        <v>0.86791666666666656</v>
      </c>
      <c r="C78" s="65" t="s">
        <v>18</v>
      </c>
      <c r="D78" s="65" t="s">
        <v>721</v>
      </c>
      <c r="E78" s="65" t="s">
        <v>690</v>
      </c>
    </row>
    <row r="79" spans="1:5">
      <c r="A79" s="200">
        <v>46221</v>
      </c>
      <c r="B79" s="201">
        <v>0.51004629629629628</v>
      </c>
      <c r="C79" s="65" t="s">
        <v>18</v>
      </c>
      <c r="D79" s="65" t="s">
        <v>720</v>
      </c>
      <c r="E79" s="65" t="s">
        <v>690</v>
      </c>
    </row>
    <row r="80" spans="1:5">
      <c r="A80" s="200">
        <v>46221</v>
      </c>
      <c r="B80" s="201">
        <v>0.51026620370370368</v>
      </c>
      <c r="C80" s="65" t="s">
        <v>18</v>
      </c>
      <c r="D80" s="65" t="s">
        <v>722</v>
      </c>
      <c r="E80" s="65" t="s">
        <v>690</v>
      </c>
    </row>
    <row r="81" spans="1:5">
      <c r="A81" s="200">
        <v>46221</v>
      </c>
      <c r="B81" s="201">
        <v>0.51825231481481482</v>
      </c>
      <c r="C81" s="65" t="s">
        <v>18</v>
      </c>
      <c r="D81" s="65" t="s">
        <v>720</v>
      </c>
      <c r="E81" s="65" t="s">
        <v>690</v>
      </c>
    </row>
    <row r="82" spans="1:5">
      <c r="A82" s="200">
        <v>46221</v>
      </c>
      <c r="B82" s="201">
        <v>0.51847222222222222</v>
      </c>
      <c r="C82" s="65" t="s">
        <v>18</v>
      </c>
      <c r="D82" s="65" t="s">
        <v>723</v>
      </c>
      <c r="E82" s="65" t="s">
        <v>690</v>
      </c>
    </row>
    <row r="83" spans="1:5">
      <c r="A83" s="200">
        <v>46221</v>
      </c>
      <c r="B83" s="201">
        <v>0.52891203703703704</v>
      </c>
      <c r="C83" s="65" t="s">
        <v>18</v>
      </c>
      <c r="D83" s="65" t="s">
        <v>720</v>
      </c>
      <c r="E83" s="65" t="s">
        <v>690</v>
      </c>
    </row>
    <row r="84" spans="1:5">
      <c r="A84" s="200">
        <v>46221</v>
      </c>
      <c r="B84" s="201">
        <v>0.52914351851851849</v>
      </c>
      <c r="C84" s="65" t="s">
        <v>18</v>
      </c>
      <c r="D84" s="65" t="s">
        <v>724</v>
      </c>
      <c r="E84" s="65" t="s">
        <v>690</v>
      </c>
    </row>
  </sheetData>
  <sheetProtection password="F0A7" sheet="1" objects="1" scenarios="1"/>
  <mergeCells count="3">
    <mergeCell ref="A1:E1"/>
    <mergeCell ref="A2:E2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0971-7153-4894-A84B-525F69410E3D}">
  <sheetPr codeName="Sheet21">
    <tabColor rgb="FF9B59B6"/>
  </sheetPr>
  <dimension ref="A1:D6"/>
  <sheetViews>
    <sheetView workbookViewId="0">
      <selection sqref="A1:F16"/>
    </sheetView>
  </sheetViews>
  <sheetFormatPr defaultRowHeight="15"/>
  <cols>
    <col min="1" max="16384" width="9" style="65"/>
  </cols>
  <sheetData>
    <row r="1" spans="1:4" ht="18.75" customHeight="1">
      <c r="A1" s="294" t="s">
        <v>725</v>
      </c>
      <c r="B1" s="244"/>
      <c r="C1" s="244"/>
      <c r="D1" s="244"/>
    </row>
    <row r="3" spans="1:4">
      <c r="A3" s="65" t="s">
        <v>726</v>
      </c>
    </row>
    <row r="4" spans="1:4">
      <c r="A4" s="65" t="s">
        <v>727</v>
      </c>
      <c r="B4" s="65" t="s">
        <v>174</v>
      </c>
    </row>
    <row r="5" spans="1:4">
      <c r="A5" s="65" t="s">
        <v>728</v>
      </c>
      <c r="B5" s="65">
        <v>0</v>
      </c>
    </row>
    <row r="6" spans="1:4">
      <c r="A6" s="65" t="s">
        <v>729</v>
      </c>
    </row>
  </sheetData>
  <sheetProtection algorithmName="SHA-512" hashValue="/bNLP3ml+V2SRlWT8allbPGpUIfZE12k8V0XARbp4hbWIpZthlXJzlW/bv2IdkfVEyg5KwRo/FJe3Udz9dnpCA==" saltValue="hnHFDEFaPUPInTA8MfBVHw==" spinCount="100000" sheet="1" objects="1" scenarios="1" autoFilter="0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5E97E-9720-4A9E-85F4-E0A4E721AA1E}">
  <sheetPr codeName="Sheet22">
    <tabColor rgb="FF050000"/>
  </sheetPr>
  <dimension ref="A1:G13"/>
  <sheetViews>
    <sheetView workbookViewId="0"/>
  </sheetViews>
  <sheetFormatPr defaultRowHeight="15"/>
  <cols>
    <col min="1" max="1" width="7.125" style="65" bestFit="1" customWidth="1"/>
    <col min="2" max="2" width="24" style="65" bestFit="1" customWidth="1"/>
    <col min="3" max="3" width="10.375" style="65" bestFit="1" customWidth="1"/>
    <col min="4" max="4" width="8.375" style="65" bestFit="1" customWidth="1"/>
    <col min="5" max="5" width="14.5" style="65" bestFit="1" customWidth="1"/>
    <col min="6" max="6" width="10.625" style="65" bestFit="1" customWidth="1"/>
    <col min="7" max="7" width="15.375" style="65" bestFit="1" customWidth="1"/>
    <col min="8" max="9" width="8" style="65" customWidth="1"/>
    <col min="10" max="16384" width="9" style="65"/>
  </cols>
  <sheetData>
    <row r="1" spans="1:7">
      <c r="A1" s="202" t="s">
        <v>305</v>
      </c>
      <c r="B1" s="202" t="s">
        <v>306</v>
      </c>
      <c r="C1" s="202" t="s">
        <v>368</v>
      </c>
      <c r="D1" s="202" t="s">
        <v>730</v>
      </c>
      <c r="E1" s="202" t="s">
        <v>731</v>
      </c>
      <c r="F1" s="202" t="s">
        <v>732</v>
      </c>
      <c r="G1" s="202" t="s">
        <v>733</v>
      </c>
    </row>
    <row r="2" spans="1:7">
      <c r="A2" s="203" t="s">
        <v>46</v>
      </c>
      <c r="B2" s="203" t="s">
        <v>734</v>
      </c>
      <c r="C2" s="203">
        <v>10</v>
      </c>
      <c r="D2" s="203">
        <v>51.07</v>
      </c>
      <c r="E2" s="203">
        <v>38</v>
      </c>
      <c r="F2" s="204">
        <v>450</v>
      </c>
      <c r="G2" s="204">
        <v>17320.5</v>
      </c>
    </row>
    <row r="3" spans="1:7">
      <c r="A3" s="203" t="s">
        <v>7</v>
      </c>
      <c r="B3" s="203" t="s">
        <v>8</v>
      </c>
      <c r="C3" s="203">
        <v>42</v>
      </c>
      <c r="D3" s="203">
        <v>53.8</v>
      </c>
      <c r="E3" s="203">
        <v>39</v>
      </c>
      <c r="F3" s="204">
        <v>1600</v>
      </c>
      <c r="G3" s="204">
        <v>61648</v>
      </c>
    </row>
    <row r="4" spans="1:7">
      <c r="A4" s="203" t="s">
        <v>12</v>
      </c>
      <c r="B4" s="203" t="s">
        <v>13</v>
      </c>
      <c r="C4" s="203">
        <v>6</v>
      </c>
      <c r="D4" s="203">
        <v>50.8</v>
      </c>
      <c r="E4" s="203">
        <v>129</v>
      </c>
      <c r="F4" s="204">
        <v>30</v>
      </c>
      <c r="G4" s="204">
        <v>3873</v>
      </c>
    </row>
    <row r="5" spans="1:7">
      <c r="A5" s="205" t="s">
        <v>16</v>
      </c>
      <c r="B5" s="205" t="s">
        <v>17</v>
      </c>
      <c r="C5" s="205">
        <v>4</v>
      </c>
      <c r="D5" s="205">
        <v>50.4</v>
      </c>
      <c r="E5" s="205">
        <v>60</v>
      </c>
      <c r="F5" s="206">
        <v>70</v>
      </c>
      <c r="G5" s="206">
        <v>4183.2</v>
      </c>
    </row>
    <row r="6" spans="1:7">
      <c r="A6" s="205" t="s">
        <v>21</v>
      </c>
      <c r="B6" s="205" t="s">
        <v>22</v>
      </c>
      <c r="C6" s="205">
        <v>1</v>
      </c>
      <c r="D6" s="205">
        <v>51.27</v>
      </c>
      <c r="E6" s="205">
        <v>19</v>
      </c>
      <c r="F6" s="206">
        <v>2200</v>
      </c>
      <c r="G6" s="206">
        <v>41734</v>
      </c>
    </row>
    <row r="7" spans="1:7">
      <c r="A7" s="203" t="s">
        <v>49</v>
      </c>
      <c r="B7" s="203" t="s">
        <v>50</v>
      </c>
      <c r="C7" s="203">
        <v>12</v>
      </c>
      <c r="D7" s="203">
        <v>50.13</v>
      </c>
      <c r="E7" s="203">
        <v>12</v>
      </c>
      <c r="F7" s="204">
        <v>550</v>
      </c>
      <c r="G7" s="204">
        <v>6770.5</v>
      </c>
    </row>
    <row r="8" spans="1:7">
      <c r="A8" s="205" t="s">
        <v>28</v>
      </c>
      <c r="B8" s="205" t="s">
        <v>29</v>
      </c>
      <c r="C8" s="205">
        <v>2</v>
      </c>
      <c r="D8" s="205">
        <v>50.2</v>
      </c>
      <c r="E8" s="205">
        <v>11</v>
      </c>
      <c r="F8" s="206">
        <v>950</v>
      </c>
      <c r="G8" s="206">
        <v>10896.5</v>
      </c>
    </row>
    <row r="9" spans="1:7">
      <c r="A9" s="203" t="s">
        <v>31</v>
      </c>
      <c r="B9" s="203" t="s">
        <v>32</v>
      </c>
      <c r="C9" s="203">
        <v>25</v>
      </c>
      <c r="D9" s="203">
        <v>50.07</v>
      </c>
      <c r="E9" s="203">
        <v>8</v>
      </c>
      <c r="F9" s="204">
        <v>600</v>
      </c>
      <c r="G9" s="204">
        <v>4998</v>
      </c>
    </row>
    <row r="10" spans="1:7">
      <c r="A10" s="203" t="s">
        <v>37</v>
      </c>
      <c r="B10" s="203" t="s">
        <v>38</v>
      </c>
      <c r="C10" s="203">
        <v>4</v>
      </c>
      <c r="D10" s="203">
        <v>50.4</v>
      </c>
      <c r="E10" s="203">
        <v>18</v>
      </c>
      <c r="F10" s="204">
        <v>750</v>
      </c>
      <c r="G10" s="204">
        <v>13695</v>
      </c>
    </row>
    <row r="11" spans="1:7">
      <c r="A11" s="203" t="s">
        <v>52</v>
      </c>
      <c r="B11" s="203" t="s">
        <v>53</v>
      </c>
      <c r="C11" s="203">
        <v>39</v>
      </c>
      <c r="D11" s="203">
        <v>50.27</v>
      </c>
      <c r="E11" s="203">
        <v>6</v>
      </c>
      <c r="F11" s="204">
        <v>4500</v>
      </c>
      <c r="G11" s="204">
        <v>27405</v>
      </c>
    </row>
    <row r="12" spans="1:7">
      <c r="A12" s="203" t="s">
        <v>40</v>
      </c>
      <c r="B12" s="203" t="s">
        <v>41</v>
      </c>
      <c r="C12" s="203">
        <v>28</v>
      </c>
      <c r="D12" s="203">
        <v>50.27</v>
      </c>
      <c r="E12" s="203">
        <v>24</v>
      </c>
      <c r="F12" s="204">
        <v>300</v>
      </c>
      <c r="G12" s="204">
        <v>7071</v>
      </c>
    </row>
    <row r="13" spans="1:7">
      <c r="F13" s="207" t="s">
        <v>735</v>
      </c>
      <c r="G13" s="208">
        <f>SUM(G2:G12)</f>
        <v>199594.7</v>
      </c>
    </row>
  </sheetData>
  <sheetProtection algorithmName="SHA-512" hashValue="JWrfrEmMu5ZcgyeTWVWHyDdjsmvQbZRJy+h2uMdDmrCp555knSS3T7cdWIMDCV3BnXfFnY8iyDOcBJIPEZRFPw==" saltValue="ROyNPKCTfXXSjwSUcySywg==" spinCount="100000" sheet="1" objects="1" scenarios="1" autoFilter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70A17-A202-4506-88B6-4A52E8278503}">
  <sheetPr codeName="Sheet27">
    <tabColor rgb="FFE67E22"/>
  </sheetPr>
  <dimension ref="A1:B16"/>
  <sheetViews>
    <sheetView workbookViewId="0"/>
  </sheetViews>
  <sheetFormatPr defaultRowHeight="15"/>
  <cols>
    <col min="1" max="16384" width="9" style="65"/>
  </cols>
  <sheetData>
    <row r="1" spans="1:2">
      <c r="A1" s="65" t="s">
        <v>736</v>
      </c>
      <c r="B1" s="65" t="s">
        <v>737</v>
      </c>
    </row>
    <row r="2" spans="1:2">
      <c r="A2" s="65">
        <v>1</v>
      </c>
      <c r="B2" s="65" t="s">
        <v>1</v>
      </c>
    </row>
    <row r="3" spans="1:2">
      <c r="A3" s="65">
        <v>2</v>
      </c>
      <c r="B3" s="65" t="s">
        <v>7</v>
      </c>
    </row>
    <row r="4" spans="1:2">
      <c r="A4" s="65">
        <v>3</v>
      </c>
      <c r="B4" s="65" t="s">
        <v>12</v>
      </c>
    </row>
    <row r="5" spans="1:2">
      <c r="A5" s="65">
        <v>4</v>
      </c>
      <c r="B5" s="65" t="s">
        <v>16</v>
      </c>
    </row>
    <row r="6" spans="1:2">
      <c r="A6" s="65">
        <v>5</v>
      </c>
      <c r="B6" s="65" t="s">
        <v>21</v>
      </c>
    </row>
    <row r="7" spans="1:2">
      <c r="A7" s="65">
        <v>6</v>
      </c>
      <c r="B7" s="65" t="s">
        <v>25</v>
      </c>
    </row>
    <row r="8" spans="1:2">
      <c r="A8" s="65">
        <v>7</v>
      </c>
      <c r="B8" s="65" t="s">
        <v>28</v>
      </c>
    </row>
    <row r="9" spans="1:2">
      <c r="A9" s="65">
        <v>8</v>
      </c>
      <c r="B9" s="65" t="s">
        <v>31</v>
      </c>
    </row>
    <row r="10" spans="1:2">
      <c r="A10" s="65">
        <v>9</v>
      </c>
      <c r="B10" s="65" t="s">
        <v>34</v>
      </c>
    </row>
    <row r="11" spans="1:2">
      <c r="A11" s="65">
        <v>10</v>
      </c>
      <c r="B11" s="65" t="s">
        <v>37</v>
      </c>
    </row>
    <row r="12" spans="1:2">
      <c r="A12" s="65">
        <v>11</v>
      </c>
      <c r="B12" s="65" t="s">
        <v>40</v>
      </c>
    </row>
    <row r="13" spans="1:2">
      <c r="A13" s="65">
        <v>12</v>
      </c>
      <c r="B13" s="65" t="s">
        <v>43</v>
      </c>
    </row>
    <row r="14" spans="1:2">
      <c r="A14" s="65">
        <v>13</v>
      </c>
      <c r="B14" s="65" t="s">
        <v>46</v>
      </c>
    </row>
    <row r="15" spans="1:2">
      <c r="A15" s="65">
        <v>14</v>
      </c>
      <c r="B15" s="65" t="s">
        <v>49</v>
      </c>
    </row>
    <row r="16" spans="1:2">
      <c r="A16" s="65">
        <v>15</v>
      </c>
      <c r="B16" s="65" t="s">
        <v>52</v>
      </c>
    </row>
  </sheetData>
  <sheetProtection algorithmName="SHA-512" hashValue="peoAr9SzReIbYnqAzpczsW0Wk3+igAavH8mUDL8FSjb/0gvPGLQ+Q/smEV1MIWGfNukpcIrlB6Ve/bnUahXfDA==" saltValue="+zmzjg5LtDohWW0Udu8V9w==" spinCount="100000" sheet="1" objects="1" scenarios="1" autoFilter="0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C1A23-1577-412A-B30D-1485C89BDCEF}">
  <sheetPr codeName="Sheet28">
    <tabColor rgb="FF95A5A6"/>
  </sheetPr>
  <dimension ref="A1:B103"/>
  <sheetViews>
    <sheetView workbookViewId="0"/>
  </sheetViews>
  <sheetFormatPr defaultRowHeight="15"/>
  <cols>
    <col min="1" max="1" width="18.125" style="65" customWidth="1"/>
    <col min="2" max="2" width="31.25" style="65" customWidth="1"/>
    <col min="3" max="16384" width="9" style="65"/>
  </cols>
  <sheetData>
    <row r="1" spans="1:2">
      <c r="A1" s="207" t="s">
        <v>738</v>
      </c>
      <c r="B1" s="207" t="s">
        <v>739</v>
      </c>
    </row>
    <row r="2" spans="1:2">
      <c r="A2" s="65" t="s">
        <v>740</v>
      </c>
      <c r="B2" s="65" t="s">
        <v>741</v>
      </c>
    </row>
    <row r="3" spans="1:2">
      <c r="A3" s="65" t="s">
        <v>742</v>
      </c>
      <c r="B3" s="65" t="s">
        <v>743</v>
      </c>
    </row>
    <row r="4" spans="1:2">
      <c r="A4" s="65" t="s">
        <v>744</v>
      </c>
      <c r="B4" s="65" t="s">
        <v>745</v>
      </c>
    </row>
    <row r="5" spans="1:2">
      <c r="A5" s="65" t="s">
        <v>746</v>
      </c>
      <c r="B5" s="65" t="s">
        <v>747</v>
      </c>
    </row>
    <row r="6" spans="1:2">
      <c r="A6" s="65" t="s">
        <v>748</v>
      </c>
      <c r="B6" s="65" t="s">
        <v>749</v>
      </c>
    </row>
    <row r="7" spans="1:2">
      <c r="A7" s="65" t="s">
        <v>750</v>
      </c>
      <c r="B7" s="65" t="s">
        <v>751</v>
      </c>
    </row>
    <row r="8" spans="1:2">
      <c r="A8" s="65" t="s">
        <v>752</v>
      </c>
      <c r="B8" s="65" t="s">
        <v>753</v>
      </c>
    </row>
    <row r="9" spans="1:2">
      <c r="A9" s="65" t="s">
        <v>754</v>
      </c>
      <c r="B9" s="65" t="s">
        <v>755</v>
      </c>
    </row>
    <row r="10" spans="1:2">
      <c r="A10" s="65" t="s">
        <v>756</v>
      </c>
      <c r="B10" s="65" t="s">
        <v>757</v>
      </c>
    </row>
    <row r="11" spans="1:2">
      <c r="A11" s="65" t="s">
        <v>758</v>
      </c>
      <c r="B11" s="65" t="s">
        <v>759</v>
      </c>
    </row>
    <row r="12" spans="1:2">
      <c r="A12" s="65" t="s">
        <v>760</v>
      </c>
      <c r="B12" s="65" t="s">
        <v>761</v>
      </c>
    </row>
    <row r="13" spans="1:2">
      <c r="A13" s="65" t="s">
        <v>762</v>
      </c>
      <c r="B13" s="65" t="s">
        <v>763</v>
      </c>
    </row>
    <row r="14" spans="1:2">
      <c r="A14" s="65" t="s">
        <v>764</v>
      </c>
      <c r="B14" s="65" t="s">
        <v>765</v>
      </c>
    </row>
    <row r="15" spans="1:2">
      <c r="A15" s="65" t="s">
        <v>766</v>
      </c>
      <c r="B15" s="65" t="s">
        <v>767</v>
      </c>
    </row>
    <row r="16" spans="1:2">
      <c r="A16" s="65" t="s">
        <v>768</v>
      </c>
      <c r="B16" s="65" t="s">
        <v>769</v>
      </c>
    </row>
    <row r="17" spans="1:2">
      <c r="A17" s="65" t="s">
        <v>770</v>
      </c>
      <c r="B17" s="65" t="s">
        <v>771</v>
      </c>
    </row>
    <row r="18" spans="1:2">
      <c r="A18" s="65" t="s">
        <v>772</v>
      </c>
      <c r="B18" s="65" t="s">
        <v>773</v>
      </c>
    </row>
    <row r="19" spans="1:2">
      <c r="A19" s="65" t="s">
        <v>774</v>
      </c>
      <c r="B19" s="65" t="s">
        <v>775</v>
      </c>
    </row>
    <row r="20" spans="1:2">
      <c r="A20" s="65" t="s">
        <v>776</v>
      </c>
      <c r="B20" s="65" t="s">
        <v>777</v>
      </c>
    </row>
    <row r="21" spans="1:2">
      <c r="A21" s="65" t="s">
        <v>778</v>
      </c>
      <c r="B21" s="65" t="s">
        <v>779</v>
      </c>
    </row>
    <row r="22" spans="1:2">
      <c r="A22" s="65" t="s">
        <v>780</v>
      </c>
      <c r="B22" s="65" t="s">
        <v>781</v>
      </c>
    </row>
    <row r="23" spans="1:2">
      <c r="A23" s="65" t="s">
        <v>782</v>
      </c>
      <c r="B23" s="65" t="s">
        <v>783</v>
      </c>
    </row>
    <row r="24" spans="1:2">
      <c r="A24" s="65" t="s">
        <v>784</v>
      </c>
      <c r="B24" s="65" t="s">
        <v>785</v>
      </c>
    </row>
    <row r="25" spans="1:2">
      <c r="A25" s="65" t="s">
        <v>786</v>
      </c>
      <c r="B25" s="65" t="s">
        <v>787</v>
      </c>
    </row>
    <row r="26" spans="1:2">
      <c r="A26" s="65" t="s">
        <v>788</v>
      </c>
      <c r="B26" s="65" t="s">
        <v>789</v>
      </c>
    </row>
    <row r="27" spans="1:2">
      <c r="A27" s="65" t="s">
        <v>790</v>
      </c>
      <c r="B27" s="65" t="s">
        <v>791</v>
      </c>
    </row>
    <row r="28" spans="1:2">
      <c r="A28" s="65" t="s">
        <v>792</v>
      </c>
      <c r="B28" s="65" t="s">
        <v>793</v>
      </c>
    </row>
    <row r="29" spans="1:2">
      <c r="A29" s="65" t="s">
        <v>794</v>
      </c>
      <c r="B29" s="65" t="s">
        <v>795</v>
      </c>
    </row>
    <row r="30" spans="1:2">
      <c r="A30" s="65" t="s">
        <v>796</v>
      </c>
      <c r="B30" s="65" t="s">
        <v>797</v>
      </c>
    </row>
    <row r="31" spans="1:2">
      <c r="A31" s="65" t="s">
        <v>798</v>
      </c>
      <c r="B31" s="65" t="s">
        <v>799</v>
      </c>
    </row>
    <row r="32" spans="1:2">
      <c r="A32" s="65" t="s">
        <v>800</v>
      </c>
      <c r="B32" s="65" t="s">
        <v>801</v>
      </c>
    </row>
    <row r="33" spans="1:2">
      <c r="A33" s="65" t="s">
        <v>802</v>
      </c>
      <c r="B33" s="65" t="s">
        <v>803</v>
      </c>
    </row>
    <row r="34" spans="1:2">
      <c r="A34" s="65" t="s">
        <v>804</v>
      </c>
      <c r="B34" s="65" t="s">
        <v>805</v>
      </c>
    </row>
    <row r="35" spans="1:2">
      <c r="A35" s="65" t="s">
        <v>806</v>
      </c>
      <c r="B35" s="65" t="s">
        <v>807</v>
      </c>
    </row>
    <row r="36" spans="1:2">
      <c r="A36" s="65" t="s">
        <v>808</v>
      </c>
      <c r="B36" s="65" t="s">
        <v>809</v>
      </c>
    </row>
    <row r="37" spans="1:2">
      <c r="A37" s="65" t="s">
        <v>810</v>
      </c>
      <c r="B37" s="65" t="s">
        <v>811</v>
      </c>
    </row>
    <row r="38" spans="1:2">
      <c r="A38" s="65" t="s">
        <v>812</v>
      </c>
      <c r="B38" s="65" t="s">
        <v>813</v>
      </c>
    </row>
    <row r="39" spans="1:2">
      <c r="A39" s="65" t="s">
        <v>814</v>
      </c>
      <c r="B39" s="65" t="s">
        <v>815</v>
      </c>
    </row>
    <row r="40" spans="1:2">
      <c r="A40" s="65" t="s">
        <v>816</v>
      </c>
      <c r="B40" s="65" t="s">
        <v>817</v>
      </c>
    </row>
    <row r="41" spans="1:2">
      <c r="A41" s="65" t="s">
        <v>818</v>
      </c>
      <c r="B41" s="65" t="s">
        <v>819</v>
      </c>
    </row>
    <row r="42" spans="1:2">
      <c r="A42" s="65" t="s">
        <v>820</v>
      </c>
      <c r="B42" s="65" t="s">
        <v>821</v>
      </c>
    </row>
    <row r="43" spans="1:2">
      <c r="A43" s="65" t="s">
        <v>822</v>
      </c>
      <c r="B43" s="65" t="s">
        <v>823</v>
      </c>
    </row>
    <row r="44" spans="1:2">
      <c r="A44" s="65" t="s">
        <v>824</v>
      </c>
      <c r="B44" s="65" t="s">
        <v>825</v>
      </c>
    </row>
    <row r="45" spans="1:2">
      <c r="A45" s="65" t="s">
        <v>826</v>
      </c>
      <c r="B45" s="65" t="s">
        <v>827</v>
      </c>
    </row>
    <row r="46" spans="1:2">
      <c r="A46" s="65" t="s">
        <v>828</v>
      </c>
      <c r="B46" s="65" t="s">
        <v>829</v>
      </c>
    </row>
    <row r="47" spans="1:2">
      <c r="A47" s="65" t="s">
        <v>830</v>
      </c>
      <c r="B47" s="65" t="s">
        <v>831</v>
      </c>
    </row>
    <row r="48" spans="1:2">
      <c r="A48" s="65" t="s">
        <v>832</v>
      </c>
      <c r="B48" s="65" t="s">
        <v>833</v>
      </c>
    </row>
    <row r="49" spans="1:2">
      <c r="A49" s="65" t="s">
        <v>834</v>
      </c>
      <c r="B49" s="65" t="s">
        <v>835</v>
      </c>
    </row>
    <row r="50" spans="1:2">
      <c r="A50" s="65" t="s">
        <v>836</v>
      </c>
      <c r="B50" s="65" t="s">
        <v>837</v>
      </c>
    </row>
    <row r="51" spans="1:2">
      <c r="A51" s="65" t="s">
        <v>838</v>
      </c>
      <c r="B51" s="65" t="s">
        <v>387</v>
      </c>
    </row>
    <row r="52" spans="1:2">
      <c r="A52" s="65" t="s">
        <v>839</v>
      </c>
      <c r="B52" s="65" t="s">
        <v>388</v>
      </c>
    </row>
    <row r="53" spans="1:2">
      <c r="A53" s="65" t="s">
        <v>840</v>
      </c>
      <c r="B53" s="65" t="s">
        <v>841</v>
      </c>
    </row>
    <row r="54" spans="1:2">
      <c r="A54" s="65" t="s">
        <v>842</v>
      </c>
      <c r="B54" s="65" t="s">
        <v>843</v>
      </c>
    </row>
    <row r="55" spans="1:2">
      <c r="A55" s="65" t="s">
        <v>844</v>
      </c>
      <c r="B55" s="65" t="s">
        <v>845</v>
      </c>
    </row>
    <row r="56" spans="1:2">
      <c r="A56" s="65" t="s">
        <v>846</v>
      </c>
      <c r="B56" s="65" t="s">
        <v>847</v>
      </c>
    </row>
    <row r="57" spans="1:2">
      <c r="A57" s="65" t="s">
        <v>848</v>
      </c>
      <c r="B57" s="65" t="s">
        <v>849</v>
      </c>
    </row>
    <row r="58" spans="1:2">
      <c r="A58" s="65" t="s">
        <v>850</v>
      </c>
      <c r="B58" s="65" t="s">
        <v>851</v>
      </c>
    </row>
    <row r="59" spans="1:2">
      <c r="A59" s="65" t="s">
        <v>852</v>
      </c>
      <c r="B59" s="65" t="s">
        <v>853</v>
      </c>
    </row>
    <row r="60" spans="1:2">
      <c r="A60" s="65" t="s">
        <v>854</v>
      </c>
      <c r="B60" s="65" t="s">
        <v>855</v>
      </c>
    </row>
    <row r="61" spans="1:2">
      <c r="A61" s="65" t="s">
        <v>856</v>
      </c>
      <c r="B61" s="65" t="s">
        <v>857</v>
      </c>
    </row>
    <row r="62" spans="1:2">
      <c r="A62" s="65" t="s">
        <v>858</v>
      </c>
      <c r="B62" s="65" t="s">
        <v>859</v>
      </c>
    </row>
    <row r="63" spans="1:2">
      <c r="A63" s="65" t="s">
        <v>860</v>
      </c>
      <c r="B63" s="65" t="s">
        <v>861</v>
      </c>
    </row>
    <row r="64" spans="1:2">
      <c r="A64" s="65" t="s">
        <v>862</v>
      </c>
      <c r="B64" s="65" t="s">
        <v>863</v>
      </c>
    </row>
    <row r="65" spans="1:2">
      <c r="A65" s="65" t="s">
        <v>864</v>
      </c>
      <c r="B65" s="65" t="s">
        <v>865</v>
      </c>
    </row>
    <row r="66" spans="1:2">
      <c r="A66" s="65" t="s">
        <v>866</v>
      </c>
      <c r="B66" s="65" t="s">
        <v>821</v>
      </c>
    </row>
    <row r="67" spans="1:2">
      <c r="A67" s="65" t="s">
        <v>867</v>
      </c>
      <c r="B67" s="65" t="s">
        <v>823</v>
      </c>
    </row>
    <row r="68" spans="1:2">
      <c r="A68" s="65" t="s">
        <v>868</v>
      </c>
      <c r="B68" s="65" t="s">
        <v>869</v>
      </c>
    </row>
    <row r="69" spans="1:2">
      <c r="A69" s="65" t="s">
        <v>870</v>
      </c>
      <c r="B69" s="65" t="s">
        <v>827</v>
      </c>
    </row>
    <row r="70" spans="1:2">
      <c r="A70" s="65" t="s">
        <v>871</v>
      </c>
      <c r="B70" s="65" t="s">
        <v>829</v>
      </c>
    </row>
    <row r="71" spans="1:2">
      <c r="A71" s="65" t="s">
        <v>872</v>
      </c>
      <c r="B71" s="65" t="s">
        <v>873</v>
      </c>
    </row>
    <row r="72" spans="1:2">
      <c r="A72" s="65" t="s">
        <v>874</v>
      </c>
      <c r="B72" s="65" t="s">
        <v>875</v>
      </c>
    </row>
    <row r="73" spans="1:2">
      <c r="A73" s="65" t="s">
        <v>876</v>
      </c>
      <c r="B73" s="65" t="s">
        <v>863</v>
      </c>
    </row>
    <row r="74" spans="1:2">
      <c r="A74" s="65" t="s">
        <v>877</v>
      </c>
      <c r="B74" s="65" t="s">
        <v>878</v>
      </c>
    </row>
    <row r="75" spans="1:2">
      <c r="A75" s="65" t="s">
        <v>879</v>
      </c>
      <c r="B75" s="65" t="s">
        <v>880</v>
      </c>
    </row>
    <row r="76" spans="1:2">
      <c r="A76" s="65" t="s">
        <v>881</v>
      </c>
      <c r="B76" s="65" t="s">
        <v>882</v>
      </c>
    </row>
    <row r="77" spans="1:2">
      <c r="A77" s="65" t="s">
        <v>883</v>
      </c>
      <c r="B77" s="65" t="s">
        <v>884</v>
      </c>
    </row>
    <row r="78" spans="1:2">
      <c r="A78" s="65" t="s">
        <v>885</v>
      </c>
      <c r="B78" s="65" t="s">
        <v>886</v>
      </c>
    </row>
    <row r="79" spans="1:2">
      <c r="A79" s="65" t="s">
        <v>887</v>
      </c>
      <c r="B79" s="65" t="s">
        <v>888</v>
      </c>
    </row>
    <row r="80" spans="1:2">
      <c r="A80" s="65" t="s">
        <v>889</v>
      </c>
      <c r="B80" s="65" t="s">
        <v>890</v>
      </c>
    </row>
    <row r="81" spans="1:2">
      <c r="A81" s="65" t="s">
        <v>891</v>
      </c>
      <c r="B81" s="65" t="s">
        <v>892</v>
      </c>
    </row>
    <row r="82" spans="1:2">
      <c r="A82" s="65" t="s">
        <v>893</v>
      </c>
      <c r="B82" s="65" t="s">
        <v>894</v>
      </c>
    </row>
    <row r="83" spans="1:2">
      <c r="A83" s="65" t="s">
        <v>895</v>
      </c>
      <c r="B83" s="65" t="s">
        <v>896</v>
      </c>
    </row>
    <row r="84" spans="1:2">
      <c r="A84" s="65" t="s">
        <v>897</v>
      </c>
      <c r="B84" s="65" t="s">
        <v>898</v>
      </c>
    </row>
    <row r="85" spans="1:2">
      <c r="A85" s="65" t="s">
        <v>899</v>
      </c>
      <c r="B85" s="65" t="s">
        <v>900</v>
      </c>
    </row>
    <row r="86" spans="1:2">
      <c r="A86" s="65" t="s">
        <v>901</v>
      </c>
      <c r="B86" s="65" t="s">
        <v>902</v>
      </c>
    </row>
    <row r="87" spans="1:2">
      <c r="A87" s="65" t="s">
        <v>903</v>
      </c>
      <c r="B87" s="65" t="s">
        <v>904</v>
      </c>
    </row>
    <row r="88" spans="1:2">
      <c r="A88" s="65" t="s">
        <v>905</v>
      </c>
      <c r="B88" s="65" t="s">
        <v>906</v>
      </c>
    </row>
    <row r="89" spans="1:2">
      <c r="A89" s="65" t="s">
        <v>907</v>
      </c>
      <c r="B89" s="65" t="s">
        <v>908</v>
      </c>
    </row>
    <row r="90" spans="1:2">
      <c r="A90" s="65" t="s">
        <v>909</v>
      </c>
      <c r="B90" s="65" t="s">
        <v>910</v>
      </c>
    </row>
    <row r="91" spans="1:2">
      <c r="A91" s="65" t="s">
        <v>911</v>
      </c>
      <c r="B91" s="65" t="s">
        <v>912</v>
      </c>
    </row>
    <row r="92" spans="1:2">
      <c r="A92" s="65" t="s">
        <v>913</v>
      </c>
      <c r="B92" s="65" t="s">
        <v>914</v>
      </c>
    </row>
    <row r="93" spans="1:2">
      <c r="A93" s="65" t="s">
        <v>915</v>
      </c>
      <c r="B93" s="65" t="s">
        <v>916</v>
      </c>
    </row>
    <row r="94" spans="1:2">
      <c r="A94" s="65" t="s">
        <v>917</v>
      </c>
      <c r="B94" s="65" t="s">
        <v>918</v>
      </c>
    </row>
    <row r="95" spans="1:2">
      <c r="A95" s="65" t="s">
        <v>919</v>
      </c>
      <c r="B95" s="65" t="s">
        <v>920</v>
      </c>
    </row>
    <row r="96" spans="1:2">
      <c r="A96" s="65" t="s">
        <v>921</v>
      </c>
      <c r="B96" s="65" t="s">
        <v>922</v>
      </c>
    </row>
    <row r="97" spans="1:2">
      <c r="A97" s="65" t="s">
        <v>923</v>
      </c>
      <c r="B97" s="65" t="s">
        <v>924</v>
      </c>
    </row>
    <row r="98" spans="1:2">
      <c r="A98" s="65" t="s">
        <v>925</v>
      </c>
      <c r="B98" s="65" t="s">
        <v>926</v>
      </c>
    </row>
    <row r="99" spans="1:2">
      <c r="A99" s="65" t="s">
        <v>927</v>
      </c>
      <c r="B99" s="65" t="s">
        <v>928</v>
      </c>
    </row>
    <row r="100" spans="1:2">
      <c r="A100" s="65" t="s">
        <v>929</v>
      </c>
      <c r="B100" s="65" t="s">
        <v>930</v>
      </c>
    </row>
    <row r="101" spans="1:2">
      <c r="A101" s="65" t="s">
        <v>931</v>
      </c>
      <c r="B101" s="65" t="s">
        <v>932</v>
      </c>
    </row>
    <row r="102" spans="1:2">
      <c r="A102" s="65" t="s">
        <v>933</v>
      </c>
      <c r="B102" s="65" t="s">
        <v>934</v>
      </c>
    </row>
    <row r="103" spans="1:2">
      <c r="A103" s="65" t="s">
        <v>935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4FCDB-4097-4ADF-8084-13D030DAC604}">
  <sheetPr codeName="Sheet29">
    <tabColor rgb="FF080000"/>
  </sheetPr>
  <dimension ref="A1"/>
  <sheetViews>
    <sheetView workbookViewId="0"/>
  </sheetViews>
  <sheetFormatPr defaultRowHeight="15"/>
  <cols>
    <col min="1" max="16384" width="9" style="65"/>
  </cols>
  <sheetData>
    <row r="1" spans="1:1">
      <c r="A1" s="207" t="s">
        <v>936</v>
      </c>
    </row>
  </sheetData>
  <sheetProtection algorithmName="SHA-512" hashValue="412QGaC5SPlA6W3VAJD/hq5oAp1q6SS+bIGZheu7p00f5pXQwGWxQW0+cVTf38pvnErI7/2XMNdDsOMvC7j/Rw==" saltValue="BeDpmMMaZH9dy4pIfC4Wkg==" spinCount="100000" sheet="1" objects="1" scenarios="1" autoFilter="0"/>
  <pageMargins left="0.7" right="0.7" top="0.75" bottom="0.75" header="0.3" footer="0.3"/>
  <pageSetup paperSize="11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770FB-7058-4E78-9A18-91FF27B394CE}">
  <sheetPr codeName="Sheet30">
    <tabColor rgb="FF0A0000"/>
  </sheetPr>
  <dimension ref="A1"/>
  <sheetViews>
    <sheetView workbookViewId="0">
      <selection activeCell="I8" sqref="I8"/>
    </sheetView>
  </sheetViews>
  <sheetFormatPr defaultRowHeight="15"/>
  <cols>
    <col min="1" max="16384" width="9" style="65"/>
  </cols>
  <sheetData>
    <row r="1" spans="1:1">
      <c r="A1" s="207" t="s">
        <v>937</v>
      </c>
    </row>
  </sheetData>
  <sheetProtection algorithmName="SHA-512" hashValue="/X6a5XTANgXUUhDIH1xjr8xuGSfSp9YHPtRsVZy6fW/YmMYilbxXfJ8SrDINOme/trbPvhHkIlFsZx3gnpJ0Aw==" saltValue="ul+QEjjgrVC0dXk3X3kVdQ==" spinCount="100000" sheet="1" objects="1" scenarios="1" autoFilter="0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C6B3C-5C94-4F94-95DC-8895F03DAA97}">
  <sheetPr codeName="Sheet1"/>
  <dimension ref="A1"/>
  <sheetViews>
    <sheetView rightToLeft="1"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10</vt:i4>
      </vt:variant>
    </vt:vector>
  </HeadingPairs>
  <TitlesOfParts>
    <vt:vector size="37" baseType="lpstr">
      <vt:lpstr>DASHBOARD</vt:lpstr>
      <vt:lpstr>ACCUEIL</vt:lpstr>
      <vt:lpstr>MOUVEMENTS</vt:lpstr>
      <vt:lpstr>CONVENTIONS</vt:lpstr>
      <vt:lpstr>FOURNISSEURS</vt:lpstr>
      <vt:lpstr>ARTICLES</vt:lpstr>
      <vt:lpstr>CONFIG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FORM_INPUT</vt:lpstr>
      <vt:lpstr>BORDEREAU_COMMANDE</vt:lpstr>
      <vt:lpstr>STAGING_BUFFER</vt:lpstr>
      <vt:lpstr>SYS_STRINGS</vt:lpstr>
      <vt:lpstr>RECEIPT_TAG</vt:lpstr>
      <vt:lpstr>TEMPLATE_BON</vt:lpstr>
      <vt:lpstr>Sheet1</vt:lpstr>
      <vt:lpstr>BON_COMMANDE!Print_Area</vt:lpstr>
      <vt:lpstr>BON_RECEPTION!Print_Area</vt:lpstr>
      <vt:lpstr>BON_SORTIE!Print_Area</vt:lpstr>
      <vt:lpstr>DA_DEMANDE_ACHAT!Print_Area</vt:lpstr>
      <vt:lpstr>INVENTAIRE!Print_Area</vt:lpstr>
      <vt:lpstr>RAPPORTS!Print_Area</vt:lpstr>
      <vt:lpstr>'TABLEAU DE BORD'!Print_Area</vt:lpstr>
      <vt:lpstr>INVENTAIRE!Print_Titles</vt:lpstr>
      <vt:lpstr>RAPPORTS!Print_Titles</vt:lpstr>
      <vt:lpstr>'TABLEAU DE BORD'!Print_Titles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2026-07-17T22:11:39Z</dcterms:created>
  <dcterms:modified xsi:type="dcterms:W3CDTF">2026-07-19T18:51:59Z</dcterms:modified>
</cp:coreProperties>
</file>